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885e7a52689ab77b/Documents/Uni/Finance Bootcamp/Equity research/Microsoft/Financial model/"/>
    </mc:Choice>
  </mc:AlternateContent>
  <xr:revisionPtr revIDLastSave="139" documentId="8_{A57A3F84-20F6-4D4E-ACCF-CF7445B268F0}" xr6:coauthVersionLast="47" xr6:coauthVersionMax="47" xr10:uidLastSave="{D15DAA51-523F-4BE7-B1F5-AD8C9E12B56B}"/>
  <bookViews>
    <workbookView xWindow="-108" yWindow="-108" windowWidth="23256" windowHeight="12456" xr2:uid="{00000000-000D-0000-FFFF-FFFF00000000}"/>
  </bookViews>
  <sheets>
    <sheet name="Cover" sheetId="1" r:id="rId1"/>
    <sheet name="Assumptions" sheetId="2" r:id="rId2"/>
    <sheet name="Income Statement" sheetId="3" r:id="rId3"/>
    <sheet name="Balance Sheet" sheetId="4" r:id="rId4"/>
    <sheet name="Cash Flow Statement" sheetId="5" r:id="rId5"/>
    <sheet name="Supporting Schedules" sheetId="6" r:id="rId6"/>
    <sheet name="DCF Valuation" sheetId="7" r:id="rId7"/>
    <sheet name="Sensitivity Analysis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9" l="1"/>
  <c r="E5" i="9"/>
  <c r="C61" i="7"/>
  <c r="C59" i="7"/>
  <c r="C36" i="7"/>
  <c r="J27" i="7"/>
  <c r="C17" i="9" s="1"/>
  <c r="J25" i="7"/>
  <c r="J15" i="7"/>
  <c r="C55" i="7" s="1"/>
  <c r="J14" i="7"/>
  <c r="J16" i="7" s="1"/>
  <c r="J11" i="7"/>
  <c r="J12" i="7" s="1"/>
  <c r="J8" i="7"/>
  <c r="H46" i="6"/>
  <c r="G46" i="6"/>
  <c r="F46" i="6"/>
  <c r="E46" i="6"/>
  <c r="D46" i="6"/>
  <c r="H44" i="6"/>
  <c r="G44" i="6"/>
  <c r="F44" i="6"/>
  <c r="E44" i="6"/>
  <c r="D44" i="6"/>
  <c r="C44" i="6"/>
  <c r="C38" i="6"/>
  <c r="C36" i="6"/>
  <c r="C35" i="6"/>
  <c r="H26" i="6"/>
  <c r="G26" i="6"/>
  <c r="F26" i="6"/>
  <c r="E26" i="6"/>
  <c r="D26" i="6"/>
  <c r="H21" i="6"/>
  <c r="G21" i="6"/>
  <c r="F21" i="6"/>
  <c r="E21" i="6"/>
  <c r="D21" i="6"/>
  <c r="H16" i="6"/>
  <c r="G16" i="6"/>
  <c r="F16" i="6"/>
  <c r="E16" i="6"/>
  <c r="D16" i="6"/>
  <c r="C8" i="6"/>
  <c r="C7" i="6"/>
  <c r="D6" i="6"/>
  <c r="C6" i="6"/>
  <c r="C10" i="6" s="1"/>
  <c r="E48" i="5"/>
  <c r="D48" i="5"/>
  <c r="C48" i="5"/>
  <c r="F45" i="5"/>
  <c r="E37" i="5"/>
  <c r="D37" i="5"/>
  <c r="C37" i="5"/>
  <c r="F19" i="5"/>
  <c r="G14" i="5"/>
  <c r="H14" i="5" s="1"/>
  <c r="I14" i="5" s="1"/>
  <c r="J14" i="5" s="1"/>
  <c r="G13" i="5"/>
  <c r="H13" i="5" s="1"/>
  <c r="I13" i="5" s="1"/>
  <c r="J13" i="5" s="1"/>
  <c r="G12" i="5"/>
  <c r="H12" i="5" s="1"/>
  <c r="I12" i="5" s="1"/>
  <c r="J12" i="5" s="1"/>
  <c r="E62" i="4"/>
  <c r="D62" i="4"/>
  <c r="C62" i="4"/>
  <c r="F60" i="4"/>
  <c r="G60" i="4" s="1"/>
  <c r="H60" i="4" s="1"/>
  <c r="I60" i="4" s="1"/>
  <c r="J60" i="4" s="1"/>
  <c r="F58" i="4"/>
  <c r="E53" i="4"/>
  <c r="D53" i="4"/>
  <c r="C53" i="4"/>
  <c r="F51" i="4"/>
  <c r="F50" i="4"/>
  <c r="G50" i="4" s="1"/>
  <c r="H50" i="4" s="1"/>
  <c r="I50" i="4" s="1"/>
  <c r="J50" i="4" s="1"/>
  <c r="F49" i="4"/>
  <c r="G49" i="4" s="1"/>
  <c r="H49" i="4" s="1"/>
  <c r="I49" i="4" s="1"/>
  <c r="J49" i="4" s="1"/>
  <c r="F48" i="4"/>
  <c r="G48" i="4" s="1"/>
  <c r="H48" i="4" s="1"/>
  <c r="I48" i="4" s="1"/>
  <c r="J48" i="4" s="1"/>
  <c r="F47" i="4"/>
  <c r="G47" i="4" s="1"/>
  <c r="H47" i="4" s="1"/>
  <c r="I47" i="4" s="1"/>
  <c r="J47" i="4" s="1"/>
  <c r="F46" i="4"/>
  <c r="E43" i="4"/>
  <c r="E55" i="4" s="1"/>
  <c r="E64" i="4" s="1"/>
  <c r="D43" i="4"/>
  <c r="D55" i="4" s="1"/>
  <c r="D64" i="4" s="1"/>
  <c r="C43" i="4"/>
  <c r="C55" i="4" s="1"/>
  <c r="C64" i="4" s="1"/>
  <c r="F41" i="4"/>
  <c r="F40" i="4"/>
  <c r="F39" i="4"/>
  <c r="F38" i="4"/>
  <c r="G38" i="4" s="1"/>
  <c r="H38" i="4" s="1"/>
  <c r="I38" i="4" s="1"/>
  <c r="J38" i="4" s="1"/>
  <c r="F37" i="4"/>
  <c r="G37" i="4" s="1"/>
  <c r="H37" i="4" s="1"/>
  <c r="I37" i="4" s="1"/>
  <c r="J37" i="4" s="1"/>
  <c r="F36" i="4"/>
  <c r="G36" i="4" s="1"/>
  <c r="H36" i="4" s="1"/>
  <c r="I36" i="4" s="1"/>
  <c r="J36" i="4" s="1"/>
  <c r="E28" i="4"/>
  <c r="D28" i="4"/>
  <c r="C28" i="4"/>
  <c r="F26" i="4"/>
  <c r="F25" i="4"/>
  <c r="G25" i="4" s="1"/>
  <c r="H25" i="4" s="1"/>
  <c r="I25" i="4" s="1"/>
  <c r="J25" i="4" s="1"/>
  <c r="F24" i="4"/>
  <c r="G24" i="4" s="1"/>
  <c r="H24" i="4" s="1"/>
  <c r="I24" i="4" s="1"/>
  <c r="J24" i="4" s="1"/>
  <c r="F23" i="4"/>
  <c r="G23" i="4" s="1"/>
  <c r="H23" i="4" s="1"/>
  <c r="I23" i="4" s="1"/>
  <c r="J23" i="4" s="1"/>
  <c r="F22" i="4"/>
  <c r="G22" i="4" s="1"/>
  <c r="H22" i="4" s="1"/>
  <c r="I22" i="4" s="1"/>
  <c r="J22" i="4" s="1"/>
  <c r="F16" i="4"/>
  <c r="G16" i="4" s="1"/>
  <c r="F44" i="3"/>
  <c r="G44" i="3" s="1"/>
  <c r="H44" i="3" s="1"/>
  <c r="I44" i="3" s="1"/>
  <c r="J44" i="3" s="1"/>
  <c r="F43" i="3"/>
  <c r="G43" i="3" s="1"/>
  <c r="H43" i="3" s="1"/>
  <c r="I43" i="3" s="1"/>
  <c r="J43" i="3" s="1"/>
  <c r="F30" i="3"/>
  <c r="G30" i="3" s="1"/>
  <c r="H30" i="3" s="1"/>
  <c r="I30" i="3" s="1"/>
  <c r="J30" i="3" s="1"/>
  <c r="E26" i="3"/>
  <c r="D26" i="3"/>
  <c r="C26" i="3"/>
  <c r="E17" i="3"/>
  <c r="D17" i="3"/>
  <c r="C17" i="3"/>
  <c r="E11" i="3"/>
  <c r="D11" i="3"/>
  <c r="D19" i="3" s="1"/>
  <c r="C11" i="3"/>
  <c r="C19" i="3" s="1"/>
  <c r="C28" i="3" s="1"/>
  <c r="C32" i="3" s="1"/>
  <c r="C36" i="3" s="1"/>
  <c r="F9" i="3"/>
  <c r="G9" i="3" s="1"/>
  <c r="H9" i="3" s="1"/>
  <c r="I9" i="3" s="1"/>
  <c r="J9" i="3" s="1"/>
  <c r="F8" i="3"/>
  <c r="D29" i="2"/>
  <c r="C29" i="2"/>
  <c r="D26" i="2"/>
  <c r="C26" i="2"/>
  <c r="D25" i="2"/>
  <c r="C25" i="2"/>
  <c r="D24" i="2"/>
  <c r="C24" i="2"/>
  <c r="D21" i="2"/>
  <c r="C21" i="2"/>
  <c r="D20" i="2"/>
  <c r="C20" i="2"/>
  <c r="D19" i="2"/>
  <c r="C19" i="2"/>
  <c r="D14" i="2"/>
  <c r="C14" i="2"/>
  <c r="D13" i="2"/>
  <c r="C13" i="2"/>
  <c r="D12" i="2"/>
  <c r="C12" i="2"/>
  <c r="D8" i="2"/>
  <c r="C8" i="2"/>
  <c r="C5" i="9" l="1"/>
  <c r="D5" i="9"/>
  <c r="G5" i="9"/>
  <c r="F5" i="9"/>
  <c r="J18" i="7"/>
  <c r="J17" i="7"/>
  <c r="J21" i="7" s="1"/>
  <c r="C39" i="6"/>
  <c r="C40" i="6" s="1"/>
  <c r="D35" i="6" s="1"/>
  <c r="F48" i="5"/>
  <c r="G45" i="5"/>
  <c r="G58" i="4"/>
  <c r="G51" i="4"/>
  <c r="F25" i="5"/>
  <c r="G46" i="4"/>
  <c r="F53" i="4"/>
  <c r="F24" i="5"/>
  <c r="G41" i="4"/>
  <c r="F22" i="5"/>
  <c r="G40" i="4"/>
  <c r="F23" i="5"/>
  <c r="G39" i="4"/>
  <c r="G26" i="4"/>
  <c r="F20" i="5"/>
  <c r="H16" i="4"/>
  <c r="G19" i="5"/>
  <c r="C15" i="6"/>
  <c r="C20" i="6"/>
  <c r="C25" i="6"/>
  <c r="C45" i="6"/>
  <c r="E19" i="3"/>
  <c r="C11" i="2"/>
  <c r="D28" i="3"/>
  <c r="C39" i="3"/>
  <c r="C40" i="3"/>
  <c r="C6" i="5"/>
  <c r="C27" i="5" s="1"/>
  <c r="C52" i="5" s="1"/>
  <c r="C56" i="5" s="1"/>
  <c r="C10" i="4" s="1"/>
  <c r="C13" i="4" s="1"/>
  <c r="C18" i="4" s="1"/>
  <c r="C30" i="4" s="1"/>
  <c r="C66" i="4" s="1"/>
  <c r="F11" i="3"/>
  <c r="G8" i="3"/>
  <c r="E28" i="7" l="1"/>
  <c r="B8" i="9"/>
  <c r="C14" i="9"/>
  <c r="C28" i="7"/>
  <c r="F28" i="7"/>
  <c r="G28" i="7"/>
  <c r="C42" i="7" s="1"/>
  <c r="D28" i="7"/>
  <c r="C38" i="7"/>
  <c r="G48" i="5"/>
  <c r="H45" i="5"/>
  <c r="H58" i="4"/>
  <c r="H51" i="4"/>
  <c r="G25" i="5"/>
  <c r="H46" i="4"/>
  <c r="G53" i="4"/>
  <c r="H41" i="4"/>
  <c r="G24" i="5"/>
  <c r="G22" i="5"/>
  <c r="H40" i="4"/>
  <c r="G23" i="5"/>
  <c r="H39" i="4"/>
  <c r="G20" i="5"/>
  <c r="H26" i="4"/>
  <c r="I16" i="4"/>
  <c r="H19" i="5"/>
  <c r="C16" i="6"/>
  <c r="C17" i="6"/>
  <c r="C21" i="6"/>
  <c r="C22" i="6" s="1"/>
  <c r="C26" i="6"/>
  <c r="C27" i="6"/>
  <c r="C46" i="6"/>
  <c r="C47" i="6" s="1"/>
  <c r="D11" i="2"/>
  <c r="E28" i="3"/>
  <c r="D32" i="3"/>
  <c r="C15" i="2"/>
  <c r="F19" i="3"/>
  <c r="F17" i="3" s="1"/>
  <c r="F22" i="3"/>
  <c r="F23" i="3"/>
  <c r="F24" i="3"/>
  <c r="F14" i="4"/>
  <c r="F17" i="5" s="1"/>
  <c r="F15" i="4"/>
  <c r="F18" i="5" s="1"/>
  <c r="F35" i="4"/>
  <c r="F30" i="5"/>
  <c r="F32" i="5"/>
  <c r="D15" i="6"/>
  <c r="D17" i="6" s="1"/>
  <c r="D20" i="6"/>
  <c r="D22" i="6" s="1"/>
  <c r="D25" i="6"/>
  <c r="D27" i="6" s="1"/>
  <c r="F11" i="5"/>
  <c r="D45" i="6"/>
  <c r="D47" i="6" s="1"/>
  <c r="C6" i="7"/>
  <c r="C7" i="7"/>
  <c r="H8" i="3"/>
  <c r="G11" i="3"/>
  <c r="B9" i="9" l="1"/>
  <c r="B10" i="9"/>
  <c r="B6" i="9"/>
  <c r="B7" i="9"/>
  <c r="I45" i="5"/>
  <c r="H48" i="5"/>
  <c r="I58" i="4"/>
  <c r="H25" i="5"/>
  <c r="I51" i="4"/>
  <c r="I46" i="4"/>
  <c r="H53" i="4"/>
  <c r="H24" i="5"/>
  <c r="I41" i="4"/>
  <c r="I40" i="4"/>
  <c r="H22" i="5"/>
  <c r="I39" i="4"/>
  <c r="H23" i="5"/>
  <c r="H20" i="5"/>
  <c r="I26" i="4"/>
  <c r="J16" i="4"/>
  <c r="J19" i="5" s="1"/>
  <c r="I19" i="5"/>
  <c r="E32" i="3"/>
  <c r="D15" i="2"/>
  <c r="D36" i="3"/>
  <c r="C16" i="2"/>
  <c r="F43" i="4"/>
  <c r="F55" i="4" s="1"/>
  <c r="F21" i="5"/>
  <c r="F37" i="5"/>
  <c r="D7" i="6"/>
  <c r="F21" i="4"/>
  <c r="C17" i="7"/>
  <c r="D36" i="6"/>
  <c r="D40" i="6" s="1"/>
  <c r="E35" i="6" s="1"/>
  <c r="F11" i="4"/>
  <c r="C16" i="7"/>
  <c r="D8" i="6"/>
  <c r="I8" i="3"/>
  <c r="H11" i="3"/>
  <c r="G19" i="3"/>
  <c r="G17" i="3" s="1"/>
  <c r="G22" i="3"/>
  <c r="G23" i="3"/>
  <c r="G24" i="3"/>
  <c r="G14" i="4"/>
  <c r="G17" i="5" s="1"/>
  <c r="G15" i="4"/>
  <c r="G18" i="5" s="1"/>
  <c r="G35" i="4"/>
  <c r="G11" i="5"/>
  <c r="G30" i="5"/>
  <c r="G32" i="5"/>
  <c r="E36" i="6" s="1"/>
  <c r="E15" i="6"/>
  <c r="E17" i="6" s="1"/>
  <c r="E29" i="6" s="1"/>
  <c r="E20" i="6"/>
  <c r="E22" i="6" s="1"/>
  <c r="E25" i="6"/>
  <c r="E27" i="6" s="1"/>
  <c r="E45" i="6"/>
  <c r="E47" i="6" s="1"/>
  <c r="D6" i="7"/>
  <c r="D7" i="7"/>
  <c r="C29" i="6"/>
  <c r="F26" i="3"/>
  <c r="F28" i="3" s="1"/>
  <c r="D29" i="6"/>
  <c r="D30" i="6" s="1"/>
  <c r="C18" i="7" s="1"/>
  <c r="J45" i="5" l="1"/>
  <c r="J48" i="5" s="1"/>
  <c r="I48" i="5"/>
  <c r="J58" i="4"/>
  <c r="J51" i="4"/>
  <c r="J25" i="5" s="1"/>
  <c r="I25" i="5"/>
  <c r="I53" i="4"/>
  <c r="J46" i="4"/>
  <c r="J53" i="4" s="1"/>
  <c r="J41" i="4"/>
  <c r="J24" i="5" s="1"/>
  <c r="I24" i="5"/>
  <c r="I22" i="5"/>
  <c r="J40" i="4"/>
  <c r="J22" i="5" s="1"/>
  <c r="I23" i="5"/>
  <c r="J39" i="4"/>
  <c r="J23" i="5" s="1"/>
  <c r="J26" i="4"/>
  <c r="J20" i="5" s="1"/>
  <c r="I20" i="5"/>
  <c r="E36" i="3"/>
  <c r="D16" i="2"/>
  <c r="D39" i="3"/>
  <c r="D40" i="3"/>
  <c r="D6" i="5"/>
  <c r="D27" i="5" s="1"/>
  <c r="D52" i="5" s="1"/>
  <c r="D56" i="5" s="1"/>
  <c r="D10" i="4" s="1"/>
  <c r="D13" i="4" s="1"/>
  <c r="D18" i="4" s="1"/>
  <c r="D30" i="4" s="1"/>
  <c r="D66" i="4" s="1"/>
  <c r="F28" i="4"/>
  <c r="G21" i="4"/>
  <c r="E6" i="6"/>
  <c r="E10" i="6" s="1"/>
  <c r="J8" i="3"/>
  <c r="J11" i="3" s="1"/>
  <c r="I11" i="3"/>
  <c r="H19" i="3"/>
  <c r="H17" i="3" s="1"/>
  <c r="H22" i="3"/>
  <c r="H23" i="3"/>
  <c r="H24" i="3"/>
  <c r="H14" i="4"/>
  <c r="H17" i="5" s="1"/>
  <c r="H15" i="4"/>
  <c r="H18" i="5" s="1"/>
  <c r="H11" i="5"/>
  <c r="H30" i="5"/>
  <c r="H32" i="5"/>
  <c r="F36" i="6" s="1"/>
  <c r="F15" i="6"/>
  <c r="F17" i="6" s="1"/>
  <c r="F20" i="6"/>
  <c r="F22" i="6" s="1"/>
  <c r="F25" i="6"/>
  <c r="F27" i="6" s="1"/>
  <c r="H35" i="4"/>
  <c r="F45" i="6"/>
  <c r="F47" i="6" s="1"/>
  <c r="E6" i="7"/>
  <c r="E7" i="7"/>
  <c r="G21" i="5"/>
  <c r="G43" i="4"/>
  <c r="G55" i="4" s="1"/>
  <c r="E8" i="6"/>
  <c r="D16" i="7"/>
  <c r="G37" i="5"/>
  <c r="E7" i="6"/>
  <c r="D17" i="7"/>
  <c r="C12" i="7"/>
  <c r="C10" i="7"/>
  <c r="C9" i="7"/>
  <c r="C14" i="7" s="1"/>
  <c r="C20" i="7" s="1"/>
  <c r="C27" i="7" s="1"/>
  <c r="E15" i="2"/>
  <c r="F32" i="3"/>
  <c r="D10" i="6"/>
  <c r="E40" i="6"/>
  <c r="F35" i="6" s="1"/>
  <c r="F40" i="6" s="1"/>
  <c r="G35" i="6" s="1"/>
  <c r="G11" i="4"/>
  <c r="H11" i="4" s="1"/>
  <c r="G26" i="3"/>
  <c r="G28" i="3" s="1"/>
  <c r="E30" i="6"/>
  <c r="D18" i="7" s="1"/>
  <c r="E39" i="3" l="1"/>
  <c r="E40" i="3"/>
  <c r="E6" i="5"/>
  <c r="E27" i="5" s="1"/>
  <c r="E52" i="5" s="1"/>
  <c r="E56" i="5" s="1"/>
  <c r="E10" i="4" s="1"/>
  <c r="G28" i="4"/>
  <c r="F6" i="6"/>
  <c r="F10" i="6" s="1"/>
  <c r="H21" i="4"/>
  <c r="J19" i="3"/>
  <c r="J17" i="3" s="1"/>
  <c r="J22" i="3"/>
  <c r="J23" i="3"/>
  <c r="J24" i="3"/>
  <c r="J14" i="4"/>
  <c r="J15" i="4"/>
  <c r="J35" i="4"/>
  <c r="J11" i="5"/>
  <c r="J30" i="5"/>
  <c r="J32" i="5"/>
  <c r="H36" i="6" s="1"/>
  <c r="H15" i="6"/>
  <c r="H17" i="6" s="1"/>
  <c r="H20" i="6"/>
  <c r="H22" i="6" s="1"/>
  <c r="H25" i="6"/>
  <c r="H27" i="6" s="1"/>
  <c r="H45" i="6"/>
  <c r="H47" i="6" s="1"/>
  <c r="G6" i="7"/>
  <c r="G7" i="7"/>
  <c r="I19" i="3"/>
  <c r="I17" i="3" s="1"/>
  <c r="I22" i="3"/>
  <c r="I23" i="3"/>
  <c r="I24" i="3"/>
  <c r="I14" i="4"/>
  <c r="I17" i="5" s="1"/>
  <c r="I15" i="4"/>
  <c r="I18" i="5" s="1"/>
  <c r="I35" i="4"/>
  <c r="I11" i="5"/>
  <c r="I30" i="5"/>
  <c r="I32" i="5"/>
  <c r="G15" i="6"/>
  <c r="G17" i="6" s="1"/>
  <c r="G29" i="6" s="1"/>
  <c r="G30" i="6" s="1"/>
  <c r="F18" i="7" s="1"/>
  <c r="G20" i="6"/>
  <c r="G22" i="6" s="1"/>
  <c r="G25" i="6"/>
  <c r="G27" i="6" s="1"/>
  <c r="G45" i="6"/>
  <c r="G47" i="6" s="1"/>
  <c r="F6" i="7"/>
  <c r="F7" i="7"/>
  <c r="F8" i="6"/>
  <c r="E16" i="7"/>
  <c r="H37" i="5"/>
  <c r="F7" i="6"/>
  <c r="E17" i="7"/>
  <c r="H43" i="4"/>
  <c r="H55" i="4" s="1"/>
  <c r="H21" i="5"/>
  <c r="C30" i="7"/>
  <c r="F34" i="3"/>
  <c r="F36" i="3"/>
  <c r="D12" i="7"/>
  <c r="D10" i="7"/>
  <c r="D9" i="7"/>
  <c r="D14" i="7" s="1"/>
  <c r="D20" i="7" s="1"/>
  <c r="F15" i="2"/>
  <c r="G32" i="3"/>
  <c r="H26" i="3"/>
  <c r="H28" i="3" s="1"/>
  <c r="F29" i="6"/>
  <c r="F30" i="6" s="1"/>
  <c r="E18" i="7" s="1"/>
  <c r="E13" i="4" l="1"/>
  <c r="F54" i="5"/>
  <c r="F56" i="5" s="1"/>
  <c r="F10" i="4" s="1"/>
  <c r="H28" i="4"/>
  <c r="I21" i="4"/>
  <c r="G6" i="6"/>
  <c r="J21" i="5"/>
  <c r="J43" i="4"/>
  <c r="J55" i="4" s="1"/>
  <c r="H8" i="6"/>
  <c r="G16" i="7"/>
  <c r="J37" i="5"/>
  <c r="H7" i="6"/>
  <c r="G17" i="7"/>
  <c r="I43" i="4"/>
  <c r="I55" i="4" s="1"/>
  <c r="I21" i="5"/>
  <c r="G8" i="6"/>
  <c r="F16" i="7"/>
  <c r="I37" i="5"/>
  <c r="G7" i="6"/>
  <c r="F17" i="7"/>
  <c r="I11" i="4"/>
  <c r="J11" i="4" s="1"/>
  <c r="G36" i="6"/>
  <c r="G40" i="6" s="1"/>
  <c r="H35" i="6" s="1"/>
  <c r="H40" i="6" s="1"/>
  <c r="F39" i="3"/>
  <c r="F40" i="3"/>
  <c r="F59" i="4"/>
  <c r="F6" i="5"/>
  <c r="F27" i="5" s="1"/>
  <c r="F52" i="5" s="1"/>
  <c r="D22" i="7"/>
  <c r="D27" i="7"/>
  <c r="G34" i="3"/>
  <c r="G36" i="3"/>
  <c r="E12" i="7"/>
  <c r="E10" i="7"/>
  <c r="E9" i="7"/>
  <c r="E14" i="7" s="1"/>
  <c r="E20" i="7" s="1"/>
  <c r="G15" i="2"/>
  <c r="H32" i="3"/>
  <c r="I26" i="3"/>
  <c r="I28" i="3" s="1"/>
  <c r="J26" i="3"/>
  <c r="J28" i="3" s="1"/>
  <c r="J17" i="5"/>
  <c r="J18" i="5"/>
  <c r="H29" i="6"/>
  <c r="H30" i="6" s="1"/>
  <c r="G18" i="7" s="1"/>
  <c r="E18" i="4" l="1"/>
  <c r="E30" i="4" s="1"/>
  <c r="E66" i="4" s="1"/>
  <c r="C54" i="7"/>
  <c r="F13" i="4"/>
  <c r="F18" i="4" s="1"/>
  <c r="F30" i="4" s="1"/>
  <c r="F66" i="4" s="1"/>
  <c r="G54" i="5"/>
  <c r="G56" i="5" s="1"/>
  <c r="G10" i="4" s="1"/>
  <c r="H6" i="6"/>
  <c r="H10" i="6" s="1"/>
  <c r="I28" i="4"/>
  <c r="J21" i="4"/>
  <c r="J28" i="4" s="1"/>
  <c r="F62" i="4"/>
  <c r="F64" i="4" s="1"/>
  <c r="G59" i="4"/>
  <c r="D30" i="7"/>
  <c r="G39" i="3"/>
  <c r="G40" i="3"/>
  <c r="G6" i="5"/>
  <c r="G27" i="5" s="1"/>
  <c r="G52" i="5" s="1"/>
  <c r="E27" i="7"/>
  <c r="E30" i="7" s="1"/>
  <c r="E22" i="7"/>
  <c r="H34" i="3"/>
  <c r="H36" i="3"/>
  <c r="F12" i="7"/>
  <c r="F10" i="7"/>
  <c r="F9" i="7"/>
  <c r="F14" i="7" s="1"/>
  <c r="F20" i="7" s="1"/>
  <c r="I32" i="3"/>
  <c r="H15" i="2"/>
  <c r="G12" i="7"/>
  <c r="G10" i="7"/>
  <c r="G9" i="7"/>
  <c r="G14" i="7" s="1"/>
  <c r="G20" i="7" s="1"/>
  <c r="I15" i="2"/>
  <c r="J32" i="3"/>
  <c r="G10" i="6"/>
  <c r="G13" i="4" l="1"/>
  <c r="G18" i="4" s="1"/>
  <c r="G30" i="4" s="1"/>
  <c r="H54" i="5"/>
  <c r="G62" i="4"/>
  <c r="G64" i="4" s="1"/>
  <c r="H59" i="4"/>
  <c r="H39" i="3"/>
  <c r="H40" i="3"/>
  <c r="H6" i="5"/>
  <c r="H27" i="5" s="1"/>
  <c r="H52" i="5" s="1"/>
  <c r="F27" i="7"/>
  <c r="F22" i="7"/>
  <c r="I34" i="3"/>
  <c r="I36" i="3"/>
  <c r="G22" i="7"/>
  <c r="G27" i="7"/>
  <c r="G30" i="7" s="1"/>
  <c r="C35" i="7"/>
  <c r="C37" i="7" s="1"/>
  <c r="C40" i="7" s="1"/>
  <c r="C44" i="7" s="1"/>
  <c r="C50" i="7" s="1"/>
  <c r="J34" i="3"/>
  <c r="J36" i="3"/>
  <c r="H62" i="4" l="1"/>
  <c r="H64" i="4" s="1"/>
  <c r="I59" i="4"/>
  <c r="D6" i="9"/>
  <c r="E7" i="9"/>
  <c r="E6" i="9"/>
  <c r="F10" i="9"/>
  <c r="E10" i="9"/>
  <c r="C7" i="9"/>
  <c r="F6" i="9"/>
  <c r="G7" i="9"/>
  <c r="G10" i="9"/>
  <c r="E8" i="9"/>
  <c r="F8" i="9"/>
  <c r="G9" i="9"/>
  <c r="E9" i="9"/>
  <c r="D7" i="9"/>
  <c r="F7" i="9"/>
  <c r="G6" i="9"/>
  <c r="G8" i="9"/>
  <c r="C8" i="9"/>
  <c r="C6" i="9"/>
  <c r="D8" i="9"/>
  <c r="C9" i="9"/>
  <c r="D9" i="9"/>
  <c r="F9" i="9"/>
  <c r="C10" i="9"/>
  <c r="D10" i="9"/>
  <c r="F30" i="7"/>
  <c r="C32" i="7" s="1"/>
  <c r="C49" i="7" s="1"/>
  <c r="C52" i="7" s="1"/>
  <c r="C57" i="7" s="1"/>
  <c r="C60" i="7" s="1"/>
  <c r="I39" i="3"/>
  <c r="I40" i="3"/>
  <c r="I6" i="5"/>
  <c r="I27" i="5" s="1"/>
  <c r="I52" i="5" s="1"/>
  <c r="J39" i="3"/>
  <c r="J40" i="3"/>
  <c r="J6" i="5"/>
  <c r="J27" i="5" s="1"/>
  <c r="J52" i="5" s="1"/>
  <c r="G66" i="4"/>
  <c r="H56" i="5"/>
  <c r="H10" i="4" s="1"/>
  <c r="I62" i="4" l="1"/>
  <c r="I64" i="4" s="1"/>
  <c r="J59" i="4"/>
  <c r="J62" i="4" s="1"/>
  <c r="J64" i="4" s="1"/>
  <c r="C63" i="7"/>
  <c r="J28" i="7" s="1"/>
  <c r="C18" i="9" s="1"/>
  <c r="J26" i="7"/>
  <c r="C16" i="9" s="1"/>
  <c r="I54" i="5"/>
  <c r="I56" i="5" s="1"/>
  <c r="I10" i="4" s="1"/>
  <c r="H13" i="4"/>
  <c r="H18" i="4" s="1"/>
  <c r="H30" i="4" s="1"/>
  <c r="H66" i="4" s="1"/>
  <c r="I13" i="4" l="1"/>
  <c r="I18" i="4" s="1"/>
  <c r="I30" i="4" s="1"/>
  <c r="I66" i="4" s="1"/>
  <c r="J54" i="5"/>
  <c r="J56" i="5" s="1"/>
  <c r="J10" i="4" s="1"/>
  <c r="J13" i="4" s="1"/>
  <c r="J18" i="4" s="1"/>
  <c r="J30" i="4" s="1"/>
  <c r="J66" i="4" s="1"/>
</calcChain>
</file>

<file path=xl/sharedStrings.xml><?xml version="1.0" encoding="utf-8"?>
<sst xmlns="http://schemas.openxmlformats.org/spreadsheetml/2006/main" count="335" uniqueCount="236">
  <si>
    <t>Assumptions</t>
  </si>
  <si>
    <t>Driver</t>
  </si>
  <si>
    <t>Historical</t>
  </si>
  <si>
    <t>Forecast</t>
  </si>
  <si>
    <t>FY2024A</t>
  </si>
  <si>
    <t>FY2025A</t>
  </si>
  <si>
    <t>FY2026E</t>
  </si>
  <si>
    <t>FY2027E</t>
  </si>
  <si>
    <t>FY2028E</t>
  </si>
  <si>
    <t>FY2029E</t>
  </si>
  <si>
    <t>FY2030E</t>
  </si>
  <si>
    <t>Growth</t>
  </si>
  <si>
    <t>Revenue Growth (%)</t>
  </si>
  <si>
    <t>Margins</t>
  </si>
  <si>
    <t>Gross Margin (%)</t>
  </si>
  <si>
    <t>R&amp;D (% Revenue)</t>
  </si>
  <si>
    <t>Sales and Marketing (% Revenue)</t>
  </si>
  <si>
    <t>G&amp;A (% Revenue)</t>
  </si>
  <si>
    <t>Implied Operating Margin (%)</t>
  </si>
  <si>
    <t>Tax Rate (%)</t>
  </si>
  <si>
    <t>Investment</t>
  </si>
  <si>
    <t>CapEx (% Revenue)</t>
  </si>
  <si>
    <t>Depreciation (% Revenue)</t>
  </si>
  <si>
    <t>Investment Purchases (% Revenue)</t>
  </si>
  <si>
    <t>Working Capital</t>
  </si>
  <si>
    <t>Accounts Receivable (% Revenue)</t>
  </si>
  <si>
    <t>Inventory (% Revenue)</t>
  </si>
  <si>
    <t>Accounts Payable (% Revenue)</t>
  </si>
  <si>
    <t>Capital Allocation</t>
  </si>
  <si>
    <t>Dividend Growth (%)</t>
  </si>
  <si>
    <t>Income Statement</t>
  </si>
  <si>
    <t>($ in millions, except per share data)</t>
  </si>
  <si>
    <t>FY2023A</t>
  </si>
  <si>
    <t>Revenue:</t>
  </si>
  <si>
    <t xml:space="preserve"> Product</t>
  </si>
  <si>
    <t xml:space="preserve"> Service and Other</t>
  </si>
  <si>
    <t>Total Revenue</t>
  </si>
  <si>
    <t>Cost of Revenue:</t>
  </si>
  <si>
    <t xml:space="preserve">Product </t>
  </si>
  <si>
    <t xml:space="preserve">Service and Other </t>
  </si>
  <si>
    <t>Total Cost of Revenue</t>
  </si>
  <si>
    <t>Gross Profit</t>
  </si>
  <si>
    <t>Operating Expenses:</t>
  </si>
  <si>
    <t>Research and Development</t>
  </si>
  <si>
    <t>Sales and Marketing</t>
  </si>
  <si>
    <t>General and Administrative</t>
  </si>
  <si>
    <t>Total Operating Expenses</t>
  </si>
  <si>
    <t>Operating Income</t>
  </si>
  <si>
    <t>Other Income (expense), Net</t>
  </si>
  <si>
    <t>Income before taxes</t>
  </si>
  <si>
    <t>Income Tax Expense</t>
  </si>
  <si>
    <t>Net Income</t>
  </si>
  <si>
    <t>Earnings Per Share:</t>
  </si>
  <si>
    <t xml:space="preserve">Basic </t>
  </si>
  <si>
    <t>Diluted</t>
  </si>
  <si>
    <t xml:space="preserve"> </t>
  </si>
  <si>
    <t>Weighted Average Shares Outstanding:</t>
  </si>
  <si>
    <t>Balance Sheet</t>
  </si>
  <si>
    <t>($ in millions)</t>
  </si>
  <si>
    <t xml:space="preserve">Historical </t>
  </si>
  <si>
    <t>Assets</t>
  </si>
  <si>
    <t>Current  Assets:</t>
  </si>
  <si>
    <t>Cash and Cash Equivalents</t>
  </si>
  <si>
    <t>Short-term Investments</t>
  </si>
  <si>
    <t>Total Cash and Short-Term Investments</t>
  </si>
  <si>
    <t xml:space="preserve">Accounts Receivable, Net </t>
  </si>
  <si>
    <t>Inventories</t>
  </si>
  <si>
    <t>Other Current Assets</t>
  </si>
  <si>
    <t>Total Current Assets</t>
  </si>
  <si>
    <t>Non-Current Assets:</t>
  </si>
  <si>
    <t>Property and Equipment, Net</t>
  </si>
  <si>
    <t>Operating Lease ROU Assets</t>
  </si>
  <si>
    <t>Equity and Other Investments</t>
  </si>
  <si>
    <t>Goodwill</t>
  </si>
  <si>
    <t>Intangible Assets, Net</t>
  </si>
  <si>
    <t>Other Long-Term Assets</t>
  </si>
  <si>
    <t>Total Non-Current Assets</t>
  </si>
  <si>
    <t>Total Assets</t>
  </si>
  <si>
    <t>Liabilities and Stockholders' Equity</t>
  </si>
  <si>
    <t>Current Liabilities:</t>
  </si>
  <si>
    <t>Accounts Payable</t>
  </si>
  <si>
    <t>Short-Term Debt</t>
  </si>
  <si>
    <t>Current Portion of Long-Term Debt</t>
  </si>
  <si>
    <t>Accrued Compensation</t>
  </si>
  <si>
    <t>Short-Term Income Taxes</t>
  </si>
  <si>
    <t>Short-Term Unearned Revenue</t>
  </si>
  <si>
    <t>Other Current Liabilities</t>
  </si>
  <si>
    <t>Total Current Liabilities:</t>
  </si>
  <si>
    <t>Non-Current Liabilities:</t>
  </si>
  <si>
    <t>Long-Term Debt</t>
  </si>
  <si>
    <t>Long-Term Income Taxes</t>
  </si>
  <si>
    <t>Long-Term Unearned Revenue</t>
  </si>
  <si>
    <t>Deferred Income Taxes</t>
  </si>
  <si>
    <t>Operating Lease Liabilities</t>
  </si>
  <si>
    <t>Other Long-term Liabilities</t>
  </si>
  <si>
    <t>Total Non-Current Liabilities</t>
  </si>
  <si>
    <t>Total Liabilities</t>
  </si>
  <si>
    <t>Stockholders' Equity:</t>
  </si>
  <si>
    <t>Common Stock and Paid-In Capital</t>
  </si>
  <si>
    <t>Retained Earnings</t>
  </si>
  <si>
    <t>Accumulated other Comprehensive Loss</t>
  </si>
  <si>
    <t>Total Stockholders' Equity</t>
  </si>
  <si>
    <t>Total Liabilities and Stockholders' Equity</t>
  </si>
  <si>
    <t>Balance Check</t>
  </si>
  <si>
    <t>Cash Flow Statement</t>
  </si>
  <si>
    <t>Operating Activities:</t>
  </si>
  <si>
    <t>Adjustments:</t>
  </si>
  <si>
    <t>Depreciation, Amortization, and other</t>
  </si>
  <si>
    <t>Stock-based Compensation Expense</t>
  </si>
  <si>
    <t>Investment and Derivatives Gains/Losses</t>
  </si>
  <si>
    <t>Changes in Operating Assets and Liabilities:</t>
  </si>
  <si>
    <t>Accounts Receivable</t>
  </si>
  <si>
    <t xml:space="preserve">Inventories </t>
  </si>
  <si>
    <t xml:space="preserve">Other Current Assets </t>
  </si>
  <si>
    <t>Unearned Revenue</t>
  </si>
  <si>
    <t>Income Taxes</t>
  </si>
  <si>
    <t xml:space="preserve">Other Current Liabilities </t>
  </si>
  <si>
    <t xml:space="preserve">Other Long-Term Liabilities </t>
  </si>
  <si>
    <t>Net Cash from Operating Activities</t>
  </si>
  <si>
    <t>Investing Activities:</t>
  </si>
  <si>
    <t>Additions to Property and Equipment</t>
  </si>
  <si>
    <t>Acquisitions, Net</t>
  </si>
  <si>
    <t>Purchases of Investments</t>
  </si>
  <si>
    <t>Maturities of Investments</t>
  </si>
  <si>
    <t>Sales of Investments</t>
  </si>
  <si>
    <t>Other, Net</t>
  </si>
  <si>
    <t>Net Cash Used in Investing Activities</t>
  </si>
  <si>
    <t>Financing Activities:</t>
  </si>
  <si>
    <t>Short-Term Debt Issued/(Repaid), Net</t>
  </si>
  <si>
    <t>Long-Term Debt Issued</t>
  </si>
  <si>
    <t>Long-Term Debt Repaid</t>
  </si>
  <si>
    <t>Common Stock Issued</t>
  </si>
  <si>
    <t>Share Repurchases</t>
  </si>
  <si>
    <t>Dividends Paid</t>
  </si>
  <si>
    <t>Net  Cash Used in Financing Activities</t>
  </si>
  <si>
    <t>FX Effect on Cash and Cash Equivalents</t>
  </si>
  <si>
    <t>Net Change in Cash and Cash Equivalents</t>
  </si>
  <si>
    <t>Beginning Cash and Cash Equivalents</t>
  </si>
  <si>
    <t>Ending Cash and Cash Equivalents</t>
  </si>
  <si>
    <t>Supporting Schedules</t>
  </si>
  <si>
    <t>PP&amp;E Schedule</t>
  </si>
  <si>
    <t>Beginning PP&amp;E</t>
  </si>
  <si>
    <t>+ CapEx</t>
  </si>
  <si>
    <t>- Depreciation</t>
  </si>
  <si>
    <t>+ Other PP&amp;E movements</t>
  </si>
  <si>
    <t>Ending PP&amp;E</t>
  </si>
  <si>
    <t>Working Capital Schedule</t>
  </si>
  <si>
    <t>Revenue</t>
  </si>
  <si>
    <t>AR % Revenue</t>
  </si>
  <si>
    <t>Ending AR</t>
  </si>
  <si>
    <t>Inventory</t>
  </si>
  <si>
    <t>Inventory % Revenue</t>
  </si>
  <si>
    <t>Ending Inventory</t>
  </si>
  <si>
    <t>AP % Revenue</t>
  </si>
  <si>
    <t>Ending AP</t>
  </si>
  <si>
    <t>Net Working Capital</t>
  </si>
  <si>
    <t>Change in Net Working Capital</t>
  </si>
  <si>
    <t>Investment Schedule</t>
  </si>
  <si>
    <t>Beginning Balance</t>
  </si>
  <si>
    <t>+ Purchases</t>
  </si>
  <si>
    <t>DCF Valuation</t>
  </si>
  <si>
    <t>Unlevered Free Cash Flow</t>
  </si>
  <si>
    <t>DCF Assumptions</t>
  </si>
  <si>
    <t>($ in millions, except per-share data)</t>
  </si>
  <si>
    <t>Risk-Free Rate %</t>
  </si>
  <si>
    <t>Beta</t>
  </si>
  <si>
    <t>Revenue Growth %</t>
  </si>
  <si>
    <t>Equity Risk Premium %</t>
  </si>
  <si>
    <t>Cost of Equity %</t>
  </si>
  <si>
    <t>EBIT/Operating Income</t>
  </si>
  <si>
    <t>EBIT Margin %</t>
  </si>
  <si>
    <t>Pre-tax Cost of Debt Assumption</t>
  </si>
  <si>
    <t>Tax Rate</t>
  </si>
  <si>
    <t>Taxes on EBIT</t>
  </si>
  <si>
    <t>After-Tax Cost of Debt</t>
  </si>
  <si>
    <t>Net Operating Profit After Tax</t>
  </si>
  <si>
    <t>Market Value of Equity ($m)</t>
  </si>
  <si>
    <t>Market Value of Debt ($m)</t>
  </si>
  <si>
    <t>Depreciation &amp; Amortization</t>
  </si>
  <si>
    <t>Total Capital ($m)</t>
  </si>
  <si>
    <t>Capital Expenditures</t>
  </si>
  <si>
    <t>Weight of Equity</t>
  </si>
  <si>
    <t>Weight of Debt</t>
  </si>
  <si>
    <t>Current Share Price ($)</t>
  </si>
  <si>
    <t>Unlevered Free Cash Flow (UFCF)</t>
  </si>
  <si>
    <t>Valuation Date</t>
  </si>
  <si>
    <t>WACC</t>
  </si>
  <si>
    <t>UFCF Growth %</t>
  </si>
  <si>
    <t>Terminal Growth Rate</t>
  </si>
  <si>
    <t>Present Value of UFCF</t>
  </si>
  <si>
    <t>Key Outputs</t>
  </si>
  <si>
    <t>Diluted Shares Outstanding (m)</t>
  </si>
  <si>
    <t>Discount Period</t>
  </si>
  <si>
    <t>Implied Share Price ($/share)</t>
  </si>
  <si>
    <t>UFCF</t>
  </si>
  <si>
    <t>Current Share Price ($/share)</t>
  </si>
  <si>
    <t>Discount Factor @ WACC</t>
  </si>
  <si>
    <t>Upside/ (Downside)</t>
  </si>
  <si>
    <t>PV of UFCF</t>
  </si>
  <si>
    <t>Total PV of UFCF</t>
  </si>
  <si>
    <t>Terminal Value</t>
  </si>
  <si>
    <t>FY2030E UFCF</t>
  </si>
  <si>
    <t>FY2031E UFCF</t>
  </si>
  <si>
    <t>Discount Factor</t>
  </si>
  <si>
    <t>PV of Terminal Value</t>
  </si>
  <si>
    <t>Valuation Summary</t>
  </si>
  <si>
    <t>Enterprise Value</t>
  </si>
  <si>
    <t>Cash and Short-Term Investments</t>
  </si>
  <si>
    <t>Total Debt</t>
  </si>
  <si>
    <t>Equity Value</t>
  </si>
  <si>
    <t>Current Share Price</t>
  </si>
  <si>
    <t>Sensitivity Analysis</t>
  </si>
  <si>
    <t>Implied Share Price Sensitivity ($/share)</t>
  </si>
  <si>
    <t>WACC ↓ / Terminal Growth →</t>
  </si>
  <si>
    <t>Base Case</t>
  </si>
  <si>
    <t>Implied Share Price</t>
  </si>
  <si>
    <t>Upside / (Downside)</t>
  </si>
  <si>
    <t>- Maturities</t>
  </si>
  <si>
    <t>- Sales</t>
  </si>
  <si>
    <t>+ Other Movements</t>
  </si>
  <si>
    <t>Ending Balance</t>
  </si>
  <si>
    <t>Depreciation Schedule</t>
  </si>
  <si>
    <t>Depreciation</t>
  </si>
  <si>
    <t>Depreciation % Revenue</t>
  </si>
  <si>
    <t>Depreciation Expense</t>
  </si>
  <si>
    <t>Microsoft Corporation</t>
  </si>
  <si>
    <t>Valuation Model</t>
  </si>
  <si>
    <t>NASDAQ: MSFT</t>
  </si>
  <si>
    <t xml:space="preserve">Prepared by: </t>
  </si>
  <si>
    <t>Valuation Date:</t>
  </si>
  <si>
    <t>Model Version:</t>
  </si>
  <si>
    <t>Currency:</t>
  </si>
  <si>
    <t>Selwyn Rai</t>
  </si>
  <si>
    <t>Final</t>
  </si>
  <si>
    <t>USD</t>
  </si>
  <si>
    <r>
      <t xml:space="preserve">Assumptions </t>
    </r>
    <r>
      <rPr>
        <b/>
        <sz val="11"/>
        <color theme="4" tint="0.39997558519241921"/>
        <rFont val="Arial"/>
        <family val="2"/>
      </rPr>
      <t>•</t>
    </r>
    <r>
      <rPr>
        <b/>
        <sz val="11"/>
        <color theme="3"/>
        <rFont val="Arial"/>
        <family val="2"/>
      </rPr>
      <t xml:space="preserve"> Three-Statement Model </t>
    </r>
    <r>
      <rPr>
        <b/>
        <sz val="11"/>
        <color theme="4" tint="0.39997558519241921"/>
        <rFont val="Arial"/>
        <family val="2"/>
      </rPr>
      <t>•</t>
    </r>
    <r>
      <rPr>
        <b/>
        <sz val="11"/>
        <color theme="3"/>
        <rFont val="Arial"/>
        <family val="2"/>
      </rPr>
      <t xml:space="preserve"> Supporting Schedules </t>
    </r>
    <r>
      <rPr>
        <b/>
        <sz val="11"/>
        <color theme="4" tint="0.39997558519241921"/>
        <rFont val="Arial"/>
        <family val="2"/>
      </rPr>
      <t>•</t>
    </r>
    <r>
      <rPr>
        <b/>
        <sz val="11"/>
        <color theme="3"/>
        <rFont val="Arial"/>
        <family val="2"/>
      </rPr>
      <t xml:space="preserve"> DCF </t>
    </r>
    <r>
      <rPr>
        <b/>
        <sz val="11"/>
        <color theme="4" tint="0.39997558519241921"/>
        <rFont val="Arial"/>
        <family val="2"/>
      </rPr>
      <t>•</t>
    </r>
    <r>
      <rPr>
        <b/>
        <sz val="11"/>
        <color theme="3"/>
        <rFont val="Arial"/>
        <family val="2"/>
      </rPr>
      <t xml:space="preserve"> Sensitivity Analysis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</si>
</sst>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1">
    <numFmt numFmtId="164" formatCode="0.0%"/>
    <numFmt numFmtId="165" formatCode="\$#,##0;&quot; (&quot;#,##0\)"/>
    <numFmt numFmtId="166" formatCode="\$#,##0;&quot; $(&quot;#,##0\)"/>
    <numFmt numFmtId="167" formatCode="#,##0;&quot; (&quot;#,##0\)"/>
    <numFmt numFmtId="168" formatCode="\$#0.00"/>
    <numFmt numFmtId="169" formatCode="\$##,##0;&quot; $(&quot;#,###&quot;))&quot;"/>
    <numFmt numFmtId="170" formatCode="##,##0;&quot; (&quot;##,##0\)"/>
    <numFmt numFmtId="171" formatCode="\$###,##0;&quot; $(&quot;##,##0\)"/>
    <numFmt numFmtId="172" formatCode="##,##0;&quot; (&quot;#,##0\)"/>
    <numFmt numFmtId="173" formatCode="\$#,##0.00"/>
    <numFmt numFmtId="174" formatCode="dd/mm/yy;@"/>
    <numFmt numFmtId="175" formatCode="\$###,##0;\ \$\(###,##0\)"/>
    <numFmt numFmtId="176" formatCode="###,##0;\ \(###,##0\)"/>
    <numFmt numFmtId="177" formatCode="\$##,##0"/>
    <numFmt numFmtId="178" formatCode="0.00\x"/>
    <numFmt numFmtId="179" formatCode="\$###,##0.00"/>
    <numFmt numFmtId="180" formatCode="#0.00%"/>
    <numFmt numFmtId="181" formatCode="\$#,##0"/>
    <numFmt numFmtId="182" formatCode="&quot;£&quot;0.0;\ \$\(0.0\)"/>
    <numFmt numFmtId="183" formatCode="0.0%;\ \(0.0\)%"/>
    <numFmt numFmtId="184" formatCode="\$##,##0;\ \$\(#,###\)"/>
    <numFmt numFmtId="185" formatCode="\$##,##0;\ \$\(##,##0\)"/>
    <numFmt numFmtId="186" formatCode="#,##0;\ \(#,##0\)"/>
    <numFmt numFmtId="187" formatCode="#,##0;\(#,##0\);;"/>
    <numFmt numFmtId="188" formatCode="\$###,###,##0"/>
    <numFmt numFmtId="189" formatCode="\$#,##0.00;\ \$\(#,##0.00\);"/>
    <numFmt numFmtId="190" formatCode="##,##0"/>
    <numFmt numFmtId="191" formatCode="\$0.00"/>
    <numFmt numFmtId="192" formatCode="0.0%;\(0.0%\);\-"/>
    <numFmt numFmtId="193" formatCode="#,##0;[Red]\(#,##0\);\-"/>
    <numFmt numFmtId="194" formatCode="[$-F800]dddd\,\ mmmm\ dd\,\ yyyy"/>
  </numFmts>
  <fonts count="54" x14ac:knownFonts="1">
    <font>
      <sz val="11"/>
      <color theme="1"/>
      <name val="Aptos Narrow"/>
    </font>
    <font>
      <sz val="11"/>
      <color theme="1"/>
      <name val="Arial"/>
    </font>
    <font>
      <b/>
      <sz val="15"/>
      <color theme="3"/>
      <name val="Arial"/>
    </font>
    <font>
      <b/>
      <sz val="11"/>
      <color theme="0" tint="-4.9989318521683403E-2"/>
      <name val="Arial"/>
    </font>
    <font>
      <b/>
      <sz val="11"/>
      <color theme="3"/>
      <name val="Arial"/>
    </font>
    <font>
      <b/>
      <sz val="11"/>
      <color theme="1"/>
      <name val="Arial"/>
    </font>
    <font>
      <sz val="10"/>
      <color theme="1"/>
      <name val="Arial"/>
    </font>
    <font>
      <sz val="10"/>
      <color rgb="FF0000FF"/>
      <name val="Arial"/>
    </font>
    <font>
      <sz val="10"/>
      <color theme="3"/>
      <name val="Arial"/>
    </font>
    <font>
      <b/>
      <sz val="10"/>
      <color theme="1"/>
      <name val="Arial"/>
    </font>
    <font>
      <b/>
      <i/>
      <sz val="11"/>
      <color theme="0"/>
      <name val="Arial"/>
    </font>
    <font>
      <b/>
      <sz val="11"/>
      <color theme="0"/>
      <name val="Arial"/>
    </font>
    <font>
      <sz val="10"/>
      <name val="Arial"/>
    </font>
    <font>
      <sz val="10"/>
      <color rgb="FF009B00"/>
      <name val="Arial"/>
    </font>
    <font>
      <b/>
      <sz val="10"/>
      <name val="Arial"/>
    </font>
    <font>
      <b/>
      <sz val="15"/>
      <color theme="3"/>
      <name val="Arial"/>
    </font>
    <font>
      <sz val="11"/>
      <color theme="1"/>
      <name val="Arial"/>
    </font>
    <font>
      <sz val="10"/>
      <color theme="1"/>
      <name val="Arial"/>
    </font>
    <font>
      <b/>
      <i/>
      <sz val="11"/>
      <color theme="0"/>
      <name val="Arial"/>
    </font>
    <font>
      <b/>
      <sz val="11"/>
      <color theme="0"/>
      <name val="Arial"/>
    </font>
    <font>
      <b/>
      <sz val="11"/>
      <color theme="3"/>
      <name val="Arial"/>
    </font>
    <font>
      <b/>
      <sz val="11"/>
      <color theme="1"/>
      <name val="Arial"/>
    </font>
    <font>
      <sz val="10"/>
      <color rgb="FF0000FF"/>
      <name val="Arial"/>
    </font>
    <font>
      <b/>
      <sz val="10"/>
      <color rgb="FF000000"/>
      <name val="Arial"/>
    </font>
    <font>
      <b/>
      <sz val="10"/>
      <color theme="1"/>
      <name val="Arial"/>
    </font>
    <font>
      <sz val="10"/>
      <name val="Arial"/>
    </font>
    <font>
      <sz val="11"/>
      <color rgb="FF0000FF"/>
      <name val="Arial"/>
    </font>
    <font>
      <sz val="10"/>
      <color rgb="FF009B00"/>
      <name val="Arial"/>
    </font>
    <font>
      <sz val="11"/>
      <color theme="1"/>
      <name val="Abadi"/>
    </font>
    <font>
      <b/>
      <sz val="11"/>
      <color theme="2" tint="-0.249977111117893"/>
      <name val="Arial"/>
    </font>
    <font>
      <b/>
      <i/>
      <sz val="11"/>
      <color theme="1"/>
      <name val="Arial"/>
    </font>
    <font>
      <b/>
      <sz val="11"/>
      <color rgb="FFFF0000"/>
      <name val="Arial"/>
    </font>
    <font>
      <sz val="11"/>
      <color rgb="FF009B00"/>
      <name val="Arial"/>
    </font>
    <font>
      <sz val="11"/>
      <color rgb="FFFF0000"/>
      <name val="Arial"/>
    </font>
    <font>
      <sz val="11"/>
      <color theme="1"/>
      <name val="Arial"/>
    </font>
    <font>
      <b/>
      <sz val="11"/>
      <color rgb="FFFFFFFF"/>
      <name val="Arial"/>
    </font>
    <font>
      <b/>
      <sz val="11"/>
      <color rgb="FF000000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0"/>
      <color rgb="FFC00000"/>
      <name val="Arial"/>
    </font>
    <font>
      <sz val="10"/>
      <color rgb="FF009B00"/>
      <name val="Arial"/>
    </font>
    <font>
      <sz val="10"/>
      <color rgb="FF000000"/>
      <name val="Arial"/>
    </font>
    <font>
      <sz val="10"/>
      <color rgb="FF008000"/>
      <name val="Arial"/>
    </font>
    <font>
      <sz val="10"/>
      <color rgb="FF0000FF"/>
      <name val="Arial"/>
    </font>
    <font>
      <b/>
      <sz val="11"/>
      <color rgb="FFA6A6A6"/>
      <name val="Arial"/>
    </font>
    <font>
      <sz val="11"/>
      <color theme="1"/>
      <name val="Arial"/>
      <family val="2"/>
    </font>
    <font>
      <sz val="11"/>
      <color theme="3"/>
      <name val="Arial"/>
      <family val="2"/>
    </font>
    <font>
      <sz val="20"/>
      <color theme="3"/>
      <name val="Arial"/>
      <family val="2"/>
    </font>
    <font>
      <b/>
      <sz val="35"/>
      <color theme="3"/>
      <name val="Arial"/>
      <family val="2"/>
    </font>
    <font>
      <b/>
      <sz val="20"/>
      <color theme="3"/>
      <name val="Arial"/>
      <family val="2"/>
    </font>
    <font>
      <b/>
      <sz val="11"/>
      <color theme="3"/>
      <name val="Arial"/>
      <family val="2"/>
    </font>
    <font>
      <b/>
      <sz val="11"/>
      <color theme="4" tint="0.39997558519241921"/>
      <name val="Arial"/>
      <family val="2"/>
    </font>
    <font>
      <b/>
      <sz val="15"/>
      <color theme="3"/>
      <name val="Arial"/>
      <family val="2"/>
    </font>
    <font>
      <b/>
      <sz val="11"/>
      <color theme="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3" tint="0.89989928891872917"/>
        <bgColor indexed="65"/>
      </patternFill>
    </fill>
    <fill>
      <patternFill patternType="solid">
        <fgColor theme="0"/>
      </patternFill>
    </fill>
    <fill>
      <patternFill patternType="solid">
        <fgColor theme="4"/>
      </patternFill>
    </fill>
    <fill>
      <patternFill patternType="solid">
        <fgColor theme="3" tint="0.89992980742820516"/>
        <bgColor indexed="65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156082"/>
      </patternFill>
    </fill>
    <fill>
      <patternFill patternType="solid">
        <fgColor rgb="FFD9EAF7"/>
      </patternFill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ck">
        <color rgb="FF7F6000"/>
      </left>
      <right style="thick">
        <color rgb="FF7F6000"/>
      </right>
      <top style="thick">
        <color rgb="FF7F6000"/>
      </top>
      <bottom style="thick">
        <color rgb="FF7F6000"/>
      </bottom>
      <diagonal/>
    </border>
  </borders>
  <cellStyleXfs count="1">
    <xf numFmtId="0" fontId="0" fillId="0" borderId="0"/>
  </cellStyleXfs>
  <cellXfs count="22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1" fillId="3" borderId="0" xfId="0" applyFont="1" applyFill="1"/>
    <xf numFmtId="0" fontId="3" fillId="4" borderId="0" xfId="0" applyFont="1" applyFill="1"/>
    <xf numFmtId="0" fontId="3" fillId="4" borderId="0" xfId="0" applyFont="1" applyFill="1" applyAlignment="1">
      <alignment horizontal="right"/>
    </xf>
    <xf numFmtId="0" fontId="5" fillId="3" borderId="0" xfId="0" applyFont="1" applyFill="1"/>
    <xf numFmtId="0" fontId="6" fillId="3" borderId="0" xfId="0" applyFont="1" applyFill="1"/>
    <xf numFmtId="0" fontId="6" fillId="0" borderId="0" xfId="0" applyFont="1" applyAlignment="1">
      <alignment horizontal="left"/>
    </xf>
    <xf numFmtId="164" fontId="6" fillId="0" borderId="0" xfId="0" applyNumberFormat="1" applyFont="1"/>
    <xf numFmtId="164" fontId="7" fillId="0" borderId="0" xfId="0" applyNumberFormat="1" applyFont="1"/>
    <xf numFmtId="10" fontId="1" fillId="0" borderId="0" xfId="0" applyNumberFormat="1" applyFont="1"/>
    <xf numFmtId="0" fontId="6" fillId="0" borderId="0" xfId="0" applyFont="1"/>
    <xf numFmtId="164" fontId="6" fillId="3" borderId="0" xfId="0" applyNumberFormat="1" applyFont="1" applyFill="1"/>
    <xf numFmtId="164" fontId="9" fillId="0" borderId="0" xfId="0" applyNumberFormat="1" applyFont="1"/>
    <xf numFmtId="0" fontId="10" fillId="2" borderId="0" xfId="0" applyFont="1" applyFill="1" applyAlignment="1">
      <alignment horizontal="left"/>
    </xf>
    <xf numFmtId="0" fontId="4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6" fillId="0" borderId="1" xfId="0" applyFont="1" applyBorder="1"/>
    <xf numFmtId="0" fontId="5" fillId="0" borderId="0" xfId="0" applyFont="1"/>
    <xf numFmtId="0" fontId="6" fillId="0" borderId="3" xfId="0" applyFont="1" applyBorder="1"/>
    <xf numFmtId="0" fontId="10" fillId="2" borderId="0" xfId="0" applyFont="1" applyFill="1" applyAlignment="1">
      <alignment horizontal="left" vertical="top"/>
    </xf>
    <xf numFmtId="0" fontId="1" fillId="4" borderId="0" xfId="0" applyFont="1" applyFill="1"/>
    <xf numFmtId="0" fontId="5" fillId="4" borderId="0" xfId="0" applyFont="1" applyFill="1"/>
    <xf numFmtId="166" fontId="13" fillId="0" borderId="0" xfId="0" applyNumberFormat="1" applyFont="1"/>
    <xf numFmtId="3" fontId="7" fillId="0" borderId="0" xfId="0" applyNumberFormat="1" applyFont="1"/>
    <xf numFmtId="170" fontId="12" fillId="0" borderId="0" xfId="0" applyNumberFormat="1" applyFont="1"/>
    <xf numFmtId="170" fontId="6" fillId="0" borderId="0" xfId="0" applyNumberFormat="1" applyFont="1"/>
    <xf numFmtId="3" fontId="7" fillId="3" borderId="0" xfId="0" applyNumberFormat="1" applyFont="1" applyFill="1"/>
    <xf numFmtId="170" fontId="6" fillId="3" borderId="0" xfId="0" applyNumberFormat="1" applyFont="1" applyFill="1"/>
    <xf numFmtId="3" fontId="7" fillId="0" borderId="1" xfId="0" applyNumberFormat="1" applyFont="1" applyBorder="1"/>
    <xf numFmtId="170" fontId="6" fillId="0" borderId="1" xfId="0" applyNumberFormat="1" applyFont="1" applyBorder="1"/>
    <xf numFmtId="0" fontId="5" fillId="0" borderId="1" xfId="0" applyFont="1" applyBorder="1" applyAlignment="1">
      <alignment horizontal="left"/>
    </xf>
    <xf numFmtId="3" fontId="7" fillId="0" borderId="3" xfId="0" applyNumberFormat="1" applyFont="1" applyBorder="1"/>
    <xf numFmtId="170" fontId="6" fillId="0" borderId="3" xfId="0" applyNumberFormat="1" applyFont="1" applyBorder="1"/>
    <xf numFmtId="167" fontId="7" fillId="0" borderId="0" xfId="0" applyNumberFormat="1" applyFont="1"/>
    <xf numFmtId="166" fontId="7" fillId="0" borderId="1" xfId="0" applyNumberFormat="1" applyFont="1" applyBorder="1"/>
    <xf numFmtId="169" fontId="6" fillId="0" borderId="3" xfId="0" applyNumberFormat="1" applyFont="1" applyBorder="1"/>
    <xf numFmtId="0" fontId="1" fillId="0" borderId="1" xfId="0" applyFont="1" applyBorder="1"/>
    <xf numFmtId="171" fontId="13" fillId="0" borderId="0" xfId="0" applyNumberFormat="1" applyFont="1"/>
    <xf numFmtId="171" fontId="6" fillId="0" borderId="0" xfId="0" applyNumberFormat="1" applyFont="1"/>
    <xf numFmtId="166" fontId="13" fillId="3" borderId="0" xfId="0" applyNumberFormat="1" applyFont="1" applyFill="1"/>
    <xf numFmtId="171" fontId="6" fillId="3" borderId="0" xfId="0" applyNumberFormat="1" applyFont="1" applyFill="1"/>
    <xf numFmtId="166" fontId="7" fillId="0" borderId="0" xfId="0" applyNumberFormat="1" applyFont="1"/>
    <xf numFmtId="167" fontId="14" fillId="0" borderId="1" xfId="0" applyNumberFormat="1" applyFont="1" applyBorder="1"/>
    <xf numFmtId="170" fontId="9" fillId="0" borderId="1" xfId="0" applyNumberFormat="1" applyFont="1" applyBorder="1"/>
    <xf numFmtId="167" fontId="7" fillId="0" borderId="1" xfId="0" applyNumberFormat="1" applyFont="1" applyBorder="1"/>
    <xf numFmtId="167" fontId="7" fillId="3" borderId="0" xfId="0" applyNumberFormat="1" applyFont="1" applyFill="1"/>
    <xf numFmtId="170" fontId="13" fillId="0" borderId="0" xfId="0" applyNumberFormat="1" applyFont="1"/>
    <xf numFmtId="0" fontId="15" fillId="0" borderId="0" xfId="0" applyFont="1" applyAlignment="1">
      <alignment vertical="top"/>
    </xf>
    <xf numFmtId="0" fontId="16" fillId="0" borderId="0" xfId="0" applyFont="1"/>
    <xf numFmtId="0" fontId="17" fillId="0" borderId="0" xfId="0" applyFont="1"/>
    <xf numFmtId="0" fontId="18" fillId="2" borderId="0" xfId="0" applyFont="1" applyFill="1" applyAlignment="1">
      <alignment horizontal="left"/>
    </xf>
    <xf numFmtId="0" fontId="17" fillId="3" borderId="0" xfId="0" applyFont="1" applyFill="1"/>
    <xf numFmtId="0" fontId="20" fillId="3" borderId="0" xfId="0" applyFont="1" applyFill="1" applyAlignment="1">
      <alignment horizontal="center"/>
    </xf>
    <xf numFmtId="0" fontId="17" fillId="4" borderId="0" xfId="0" applyFont="1" applyFill="1"/>
    <xf numFmtId="0" fontId="21" fillId="4" borderId="0" xfId="0" applyFont="1" applyFill="1" applyAlignment="1">
      <alignment horizontal="center"/>
    </xf>
    <xf numFmtId="0" fontId="21" fillId="3" borderId="0" xfId="0" applyFont="1" applyFill="1"/>
    <xf numFmtId="0" fontId="16" fillId="3" borderId="0" xfId="0" applyFont="1" applyFill="1"/>
    <xf numFmtId="0" fontId="17" fillId="0" borderId="0" xfId="0" applyFont="1" applyAlignment="1">
      <alignment horizontal="left"/>
    </xf>
    <xf numFmtId="165" fontId="22" fillId="0" borderId="0" xfId="0" applyNumberFormat="1" applyFont="1" applyAlignment="1">
      <alignment horizontal="right"/>
    </xf>
    <xf numFmtId="166" fontId="17" fillId="0" borderId="0" xfId="0" applyNumberFormat="1" applyFont="1"/>
    <xf numFmtId="167" fontId="22" fillId="0" borderId="0" xfId="0" applyNumberFormat="1" applyFont="1" applyAlignment="1">
      <alignment horizontal="right"/>
    </xf>
    <xf numFmtId="3" fontId="17" fillId="0" borderId="0" xfId="0" applyNumberFormat="1" applyFont="1"/>
    <xf numFmtId="0" fontId="17" fillId="0" borderId="1" xfId="0" applyFont="1" applyBorder="1"/>
    <xf numFmtId="167" fontId="22" fillId="0" borderId="1" xfId="0" applyNumberFormat="1" applyFont="1" applyBorder="1" applyAlignment="1">
      <alignment horizontal="right"/>
    </xf>
    <xf numFmtId="3" fontId="17" fillId="0" borderId="1" xfId="0" applyNumberFormat="1" applyFont="1" applyBorder="1"/>
    <xf numFmtId="0" fontId="21" fillId="0" borderId="0" xfId="0" applyFont="1"/>
    <xf numFmtId="0" fontId="17" fillId="0" borderId="0" xfId="0" applyFont="1" applyAlignment="1">
      <alignment horizontal="right"/>
    </xf>
    <xf numFmtId="0" fontId="23" fillId="0" borderId="1" xfId="0" applyFont="1" applyBorder="1"/>
    <xf numFmtId="167" fontId="23" fillId="0" borderId="1" xfId="0" applyNumberFormat="1" applyFont="1" applyBorder="1" applyAlignment="1">
      <alignment horizontal="right"/>
    </xf>
    <xf numFmtId="0" fontId="23" fillId="0" borderId="0" xfId="0" applyFont="1"/>
    <xf numFmtId="167" fontId="23" fillId="0" borderId="0" xfId="0" applyNumberFormat="1" applyFont="1" applyAlignment="1">
      <alignment horizontal="right"/>
    </xf>
    <xf numFmtId="167" fontId="23" fillId="3" borderId="0" xfId="0" applyNumberFormat="1" applyFont="1" applyFill="1" applyAlignment="1">
      <alignment horizontal="right"/>
    </xf>
    <xf numFmtId="3" fontId="17" fillId="3" borderId="0" xfId="0" applyNumberFormat="1" applyFont="1" applyFill="1"/>
    <xf numFmtId="0" fontId="17" fillId="0" borderId="3" xfId="0" applyFont="1" applyBorder="1"/>
    <xf numFmtId="167" fontId="22" fillId="0" borderId="3" xfId="0" applyNumberFormat="1" applyFont="1" applyBorder="1" applyAlignment="1">
      <alignment horizontal="right"/>
    </xf>
    <xf numFmtId="0" fontId="21" fillId="0" borderId="1" xfId="0" applyFont="1" applyBorder="1" applyAlignment="1">
      <alignment wrapText="1"/>
    </xf>
    <xf numFmtId="167" fontId="23" fillId="0" borderId="1" xfId="0" applyNumberFormat="1" applyFont="1" applyBorder="1" applyAlignment="1">
      <alignment horizontal="right" wrapText="1"/>
    </xf>
    <xf numFmtId="0" fontId="24" fillId="0" borderId="1" xfId="0" applyFont="1" applyBorder="1"/>
    <xf numFmtId="165" fontId="22" fillId="0" borderId="1" xfId="0" applyNumberFormat="1" applyFont="1" applyBorder="1" applyAlignment="1">
      <alignment horizontal="right"/>
    </xf>
    <xf numFmtId="166" fontId="17" fillId="0" borderId="1" xfId="0" applyNumberFormat="1" applyFont="1" applyBorder="1"/>
    <xf numFmtId="165" fontId="22" fillId="3" borderId="0" xfId="0" applyNumberFormat="1" applyFont="1" applyFill="1" applyAlignment="1">
      <alignment horizontal="right"/>
    </xf>
    <xf numFmtId="166" fontId="17" fillId="3" borderId="0" xfId="0" applyNumberFormat="1" applyFont="1" applyFill="1"/>
    <xf numFmtId="168" fontId="25" fillId="0" borderId="0" xfId="0" applyNumberFormat="1" applyFont="1" applyAlignment="1">
      <alignment horizontal="right"/>
    </xf>
    <xf numFmtId="3" fontId="22" fillId="0" borderId="0" xfId="0" applyNumberFormat="1" applyFont="1" applyAlignment="1">
      <alignment horizontal="right"/>
    </xf>
    <xf numFmtId="165" fontId="26" fillId="0" borderId="0" xfId="0" applyNumberFormat="1" applyFont="1"/>
    <xf numFmtId="9" fontId="19" fillId="2" borderId="0" xfId="0" applyNumberFormat="1" applyFont="1" applyFill="1"/>
    <xf numFmtId="0" fontId="16" fillId="2" borderId="1" xfId="0" applyFont="1" applyFill="1" applyBorder="1"/>
    <xf numFmtId="9" fontId="17" fillId="0" borderId="0" xfId="0" applyNumberFormat="1" applyFont="1" applyAlignment="1">
      <alignment horizontal="left"/>
    </xf>
    <xf numFmtId="172" fontId="17" fillId="0" borderId="0" xfId="0" applyNumberFormat="1" applyFont="1"/>
    <xf numFmtId="172" fontId="21" fillId="0" borderId="0" xfId="0" applyNumberFormat="1" applyFont="1"/>
    <xf numFmtId="0" fontId="19" fillId="2" borderId="0" xfId="0" applyFont="1" applyFill="1"/>
    <xf numFmtId="9" fontId="16" fillId="0" borderId="0" xfId="0" applyNumberFormat="1" applyFont="1"/>
    <xf numFmtId="172" fontId="16" fillId="0" borderId="0" xfId="0" applyNumberFormat="1" applyFont="1"/>
    <xf numFmtId="172" fontId="27" fillId="0" borderId="0" xfId="0" applyNumberFormat="1" applyFont="1"/>
    <xf numFmtId="9" fontId="17" fillId="0" borderId="0" xfId="0" applyNumberFormat="1" applyFont="1"/>
    <xf numFmtId="9" fontId="27" fillId="0" borderId="0" xfId="0" applyNumberFormat="1" applyFont="1"/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179" fontId="17" fillId="0" borderId="0" xfId="0" applyNumberFormat="1" applyFont="1"/>
    <xf numFmtId="186" fontId="22" fillId="0" borderId="0" xfId="0" applyNumberFormat="1" applyFont="1" applyAlignment="1">
      <alignment horizontal="right"/>
    </xf>
    <xf numFmtId="187" fontId="17" fillId="0" borderId="0" xfId="0" applyNumberFormat="1" applyFont="1"/>
    <xf numFmtId="0" fontId="28" fillId="0" borderId="0" xfId="0" applyFont="1"/>
    <xf numFmtId="176" fontId="16" fillId="0" borderId="0" xfId="0" applyNumberFormat="1" applyFont="1"/>
    <xf numFmtId="180" fontId="21" fillId="0" borderId="0" xfId="0" applyNumberFormat="1" applyFont="1"/>
    <xf numFmtId="177" fontId="21" fillId="0" borderId="0" xfId="0" applyNumberFormat="1" applyFont="1"/>
    <xf numFmtId="0" fontId="15" fillId="0" borderId="0" xfId="0" applyFont="1"/>
    <xf numFmtId="0" fontId="16" fillId="5" borderId="0" xfId="0" applyFont="1" applyFill="1"/>
    <xf numFmtId="0" fontId="29" fillId="6" borderId="0" xfId="0" applyFont="1" applyFill="1" applyAlignment="1">
      <alignment horizontal="right"/>
    </xf>
    <xf numFmtId="0" fontId="29" fillId="3" borderId="0" xfId="0" applyFont="1" applyFill="1" applyAlignment="1">
      <alignment horizontal="center"/>
    </xf>
    <xf numFmtId="0" fontId="21" fillId="0" borderId="1" xfId="0" applyFont="1" applyBorder="1"/>
    <xf numFmtId="176" fontId="21" fillId="0" borderId="1" xfId="0" applyNumberFormat="1" applyFont="1" applyBorder="1"/>
    <xf numFmtId="0" fontId="16" fillId="0" borderId="1" xfId="0" applyFont="1" applyBorder="1"/>
    <xf numFmtId="176" fontId="16" fillId="0" borderId="1" xfId="0" applyNumberFormat="1" applyFont="1" applyBorder="1"/>
    <xf numFmtId="177" fontId="21" fillId="0" borderId="1" xfId="0" applyNumberFormat="1" applyFont="1" applyBorder="1"/>
    <xf numFmtId="0" fontId="19" fillId="5" borderId="0" xfId="0" applyFont="1" applyFill="1"/>
    <xf numFmtId="0" fontId="30" fillId="6" borderId="0" xfId="0" applyFont="1" applyFill="1"/>
    <xf numFmtId="0" fontId="16" fillId="0" borderId="0" xfId="0" applyFont="1" applyAlignment="1">
      <alignment horizontal="left"/>
    </xf>
    <xf numFmtId="0" fontId="29" fillId="3" borderId="0" xfId="0" applyFont="1" applyFill="1" applyAlignment="1">
      <alignment horizontal="center" vertical="center"/>
    </xf>
    <xf numFmtId="0" fontId="20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29" fillId="6" borderId="0" xfId="0" applyFont="1" applyFill="1" applyAlignment="1">
      <alignment horizontal="center" vertical="center"/>
    </xf>
    <xf numFmtId="0" fontId="20" fillId="6" borderId="0" xfId="0" applyFont="1" applyFill="1" applyAlignment="1">
      <alignment horizontal="center" vertical="center"/>
    </xf>
    <xf numFmtId="175" fontId="27" fillId="0" borderId="0" xfId="0" applyNumberFormat="1" applyFont="1"/>
    <xf numFmtId="164" fontId="17" fillId="0" borderId="0" xfId="0" applyNumberFormat="1" applyFont="1"/>
    <xf numFmtId="176" fontId="17" fillId="0" borderId="0" xfId="0" applyNumberFormat="1" applyFont="1"/>
    <xf numFmtId="176" fontId="27" fillId="0" borderId="0" xfId="0" applyNumberFormat="1" applyFont="1"/>
    <xf numFmtId="177" fontId="17" fillId="0" borderId="0" xfId="0" applyNumberFormat="1" applyFont="1"/>
    <xf numFmtId="178" fontId="17" fillId="0" borderId="0" xfId="0" applyNumberFormat="1" applyFont="1"/>
    <xf numFmtId="10" fontId="17" fillId="0" borderId="0" xfId="0" applyNumberFormat="1" applyFont="1"/>
    <xf numFmtId="173" fontId="17" fillId="0" borderId="0" xfId="0" applyNumberFormat="1" applyFont="1"/>
    <xf numFmtId="180" fontId="22" fillId="0" borderId="0" xfId="0" applyNumberFormat="1" applyFont="1"/>
    <xf numFmtId="2" fontId="22" fillId="0" borderId="0" xfId="0" applyNumberFormat="1" applyFont="1"/>
    <xf numFmtId="180" fontId="27" fillId="0" borderId="0" xfId="0" applyNumberFormat="1" applyFont="1"/>
    <xf numFmtId="188" fontId="17" fillId="0" borderId="0" xfId="0" applyNumberFormat="1" applyFont="1"/>
    <xf numFmtId="182" fontId="17" fillId="0" borderId="0" xfId="0" applyNumberFormat="1" applyFont="1"/>
    <xf numFmtId="181" fontId="17" fillId="0" borderId="0" xfId="0" applyNumberFormat="1" applyFont="1"/>
    <xf numFmtId="180" fontId="17" fillId="0" borderId="0" xfId="0" applyNumberFormat="1" applyFont="1"/>
    <xf numFmtId="173" fontId="22" fillId="0" borderId="0" xfId="0" applyNumberFormat="1" applyFont="1"/>
    <xf numFmtId="174" fontId="17" fillId="0" borderId="0" xfId="0" applyNumberFormat="1" applyFont="1"/>
    <xf numFmtId="166" fontId="27" fillId="0" borderId="0" xfId="0" applyNumberFormat="1" applyFont="1"/>
    <xf numFmtId="172" fontId="22" fillId="0" borderId="0" xfId="0" applyNumberFormat="1" applyFont="1"/>
    <xf numFmtId="186" fontId="25" fillId="0" borderId="0" xfId="0" applyNumberFormat="1" applyFont="1" applyAlignment="1">
      <alignment horizontal="right"/>
    </xf>
    <xf numFmtId="0" fontId="17" fillId="0" borderId="4" xfId="0" applyFont="1" applyBorder="1" applyAlignment="1">
      <alignment horizontal="left"/>
    </xf>
    <xf numFmtId="178" fontId="17" fillId="0" borderId="4" xfId="0" applyNumberFormat="1" applyFont="1" applyBorder="1"/>
    <xf numFmtId="3" fontId="25" fillId="3" borderId="0" xfId="0" applyNumberFormat="1" applyFont="1" applyFill="1"/>
    <xf numFmtId="184" fontId="27" fillId="0" borderId="0" xfId="0" applyNumberFormat="1" applyFont="1"/>
    <xf numFmtId="0" fontId="5" fillId="6" borderId="1" xfId="0" applyFont="1" applyFill="1" applyBorder="1"/>
    <xf numFmtId="167" fontId="14" fillId="6" borderId="1" xfId="0" applyNumberFormat="1" applyFont="1" applyFill="1" applyBorder="1"/>
    <xf numFmtId="170" fontId="9" fillId="6" borderId="1" xfId="0" applyNumberFormat="1" applyFont="1" applyFill="1" applyBorder="1"/>
    <xf numFmtId="166" fontId="14" fillId="6" borderId="1" xfId="0" applyNumberFormat="1" applyFont="1" applyFill="1" applyBorder="1"/>
    <xf numFmtId="171" fontId="9" fillId="6" borderId="1" xfId="0" applyNumberFormat="1" applyFont="1" applyFill="1" applyBorder="1"/>
    <xf numFmtId="3" fontId="14" fillId="6" borderId="1" xfId="0" applyNumberFormat="1" applyFont="1" applyFill="1" applyBorder="1"/>
    <xf numFmtId="170" fontId="9" fillId="6" borderId="3" xfId="0" applyNumberFormat="1" applyFont="1" applyFill="1" applyBorder="1"/>
    <xf numFmtId="0" fontId="5" fillId="6" borderId="1" xfId="0" applyFont="1" applyFill="1" applyBorder="1" applyAlignment="1">
      <alignment horizontal="left"/>
    </xf>
    <xf numFmtId="0" fontId="5" fillId="6" borderId="3" xfId="0" applyFont="1" applyFill="1" applyBorder="1"/>
    <xf numFmtId="166" fontId="14" fillId="6" borderId="3" xfId="0" applyNumberFormat="1" applyFont="1" applyFill="1" applyBorder="1"/>
    <xf numFmtId="185" fontId="9" fillId="6" borderId="3" xfId="0" applyNumberFormat="1" applyFont="1" applyFill="1" applyBorder="1"/>
    <xf numFmtId="0" fontId="19" fillId="2" borderId="0" xfId="0" applyFont="1" applyFill="1" applyAlignment="1">
      <alignment horizontal="left" vertical="top"/>
    </xf>
    <xf numFmtId="0" fontId="21" fillId="6" borderId="1" xfId="0" applyFont="1" applyFill="1" applyBorder="1" applyAlignment="1">
      <alignment horizontal="left"/>
    </xf>
    <xf numFmtId="167" fontId="23" fillId="6" borderId="1" xfId="0" applyNumberFormat="1" applyFont="1" applyFill="1" applyBorder="1" applyAlignment="1">
      <alignment horizontal="right"/>
    </xf>
    <xf numFmtId="3" fontId="24" fillId="6" borderId="1" xfId="0" applyNumberFormat="1" applyFont="1" applyFill="1" applyBorder="1"/>
    <xf numFmtId="0" fontId="21" fillId="6" borderId="2" xfId="0" applyFont="1" applyFill="1" applyBorder="1"/>
    <xf numFmtId="167" fontId="23" fillId="6" borderId="3" xfId="0" applyNumberFormat="1" applyFont="1" applyFill="1" applyBorder="1" applyAlignment="1">
      <alignment horizontal="right"/>
    </xf>
    <xf numFmtId="0" fontId="21" fillId="6" borderId="1" xfId="0" applyFont="1" applyFill="1" applyBorder="1"/>
    <xf numFmtId="0" fontId="21" fillId="6" borderId="1" xfId="0" applyFont="1" applyFill="1" applyBorder="1" applyAlignment="1">
      <alignment wrapText="1"/>
    </xf>
    <xf numFmtId="167" fontId="23" fillId="6" borderId="1" xfId="0" applyNumberFormat="1" applyFont="1" applyFill="1" applyBorder="1" applyAlignment="1">
      <alignment horizontal="right" wrapText="1"/>
    </xf>
    <xf numFmtId="3" fontId="24" fillId="6" borderId="3" xfId="0" applyNumberFormat="1" applyFont="1" applyFill="1" applyBorder="1"/>
    <xf numFmtId="165" fontId="23" fillId="6" borderId="1" xfId="0" applyNumberFormat="1" applyFont="1" applyFill="1" applyBorder="1" applyAlignment="1">
      <alignment horizontal="right"/>
    </xf>
    <xf numFmtId="166" fontId="24" fillId="6" borderId="1" xfId="0" applyNumberFormat="1" applyFont="1" applyFill="1" applyBorder="1"/>
    <xf numFmtId="0" fontId="28" fillId="5" borderId="0" xfId="0" applyFont="1" applyFill="1" applyAlignment="1">
      <alignment horizontal="centerContinuous"/>
    </xf>
    <xf numFmtId="0" fontId="19" fillId="5" borderId="0" xfId="0" applyFont="1" applyFill="1" applyAlignment="1">
      <alignment horizontal="centerContinuous"/>
    </xf>
    <xf numFmtId="176" fontId="21" fillId="6" borderId="1" xfId="0" applyNumberFormat="1" applyFont="1" applyFill="1" applyBorder="1"/>
    <xf numFmtId="177" fontId="21" fillId="6" borderId="1" xfId="0" applyNumberFormat="1" applyFont="1" applyFill="1" applyBorder="1"/>
    <xf numFmtId="183" fontId="31" fillId="6" borderId="1" xfId="0" applyNumberFormat="1" applyFont="1" applyFill="1" applyBorder="1"/>
    <xf numFmtId="9" fontId="15" fillId="0" borderId="0" xfId="0" applyNumberFormat="1" applyFont="1" applyAlignment="1">
      <alignment vertical="center"/>
    </xf>
    <xf numFmtId="3" fontId="32" fillId="0" borderId="0" xfId="0" applyNumberFormat="1" applyFont="1"/>
    <xf numFmtId="189" fontId="16" fillId="0" borderId="0" xfId="0" applyNumberFormat="1" applyFont="1"/>
    <xf numFmtId="173" fontId="26" fillId="0" borderId="0" xfId="0" applyNumberFormat="1" applyFont="1"/>
    <xf numFmtId="183" fontId="33" fillId="0" borderId="0" xfId="0" applyNumberFormat="1" applyFont="1"/>
    <xf numFmtId="175" fontId="21" fillId="6" borderId="1" xfId="0" applyNumberFormat="1" applyFont="1" applyFill="1" applyBorder="1"/>
    <xf numFmtId="190" fontId="17" fillId="0" borderId="0" xfId="0" applyNumberFormat="1" applyFont="1"/>
    <xf numFmtId="190" fontId="21" fillId="6" borderId="1" xfId="0" applyNumberFormat="1" applyFont="1" applyFill="1" applyBorder="1"/>
    <xf numFmtId="190" fontId="27" fillId="0" borderId="0" xfId="0" applyNumberFormat="1" applyFont="1"/>
    <xf numFmtId="0" fontId="34" fillId="0" borderId="0" xfId="0" applyFont="1"/>
    <xf numFmtId="0" fontId="36" fillId="7" borderId="5" xfId="0" applyFont="1" applyFill="1" applyBorder="1" applyAlignment="1">
      <alignment horizontal="center"/>
    </xf>
    <xf numFmtId="10" fontId="37" fillId="7" borderId="5" xfId="0" applyNumberFormat="1" applyFont="1" applyFill="1" applyBorder="1" applyAlignment="1">
      <alignment horizontal="center"/>
    </xf>
    <xf numFmtId="191" fontId="38" fillId="0" borderId="5" xfId="0" applyNumberFormat="1" applyFont="1" applyBorder="1" applyAlignment="1">
      <alignment horizontal="center"/>
    </xf>
    <xf numFmtId="191" fontId="37" fillId="8" borderId="6" xfId="0" applyNumberFormat="1" applyFont="1" applyFill="1" applyBorder="1" applyAlignment="1">
      <alignment horizontal="center"/>
    </xf>
    <xf numFmtId="0" fontId="37" fillId="0" borderId="5" xfId="0" applyFont="1" applyBorder="1"/>
    <xf numFmtId="192" fontId="39" fillId="0" borderId="5" xfId="0" applyNumberFormat="1" applyFont="1" applyBorder="1" applyAlignment="1">
      <alignment horizontal="right"/>
    </xf>
    <xf numFmtId="10" fontId="40" fillId="0" borderId="5" xfId="0" applyNumberFormat="1" applyFont="1" applyBorder="1" applyAlignment="1">
      <alignment horizontal="right"/>
    </xf>
    <xf numFmtId="191" fontId="40" fillId="0" borderId="5" xfId="0" applyNumberFormat="1" applyFont="1" applyBorder="1" applyAlignment="1">
      <alignment horizontal="right"/>
    </xf>
    <xf numFmtId="9" fontId="6" fillId="9" borderId="0" xfId="0" applyNumberFormat="1" applyFont="1" applyFill="1" applyAlignment="1">
      <alignment horizontal="left"/>
    </xf>
    <xf numFmtId="9" fontId="41" fillId="9" borderId="0" xfId="0" applyNumberFormat="1" applyFont="1" applyFill="1" applyAlignment="1">
      <alignment horizontal="left"/>
    </xf>
    <xf numFmtId="0" fontId="41" fillId="9" borderId="0" xfId="0" applyFont="1" applyFill="1"/>
    <xf numFmtId="0" fontId="41" fillId="9" borderId="0" xfId="0" applyFont="1" applyFill="1" applyAlignment="1">
      <alignment horizontal="left"/>
    </xf>
    <xf numFmtId="193" fontId="42" fillId="9" borderId="0" xfId="0" applyNumberFormat="1" applyFont="1" applyFill="1"/>
    <xf numFmtId="193" fontId="41" fillId="9" borderId="0" xfId="0" applyNumberFormat="1" applyFont="1" applyFill="1"/>
    <xf numFmtId="193" fontId="43" fillId="9" borderId="0" xfId="0" applyNumberFormat="1" applyFont="1" applyFill="1"/>
    <xf numFmtId="0" fontId="5" fillId="9" borderId="0" xfId="0" applyFont="1" applyFill="1"/>
    <xf numFmtId="0" fontId="29" fillId="9" borderId="0" xfId="0" applyFont="1" applyFill="1" applyAlignment="1">
      <alignment horizontal="center"/>
    </xf>
    <xf numFmtId="0" fontId="4" fillId="9" borderId="0" xfId="0" applyFont="1" applyFill="1" applyAlignment="1">
      <alignment horizontal="center"/>
    </xf>
    <xf numFmtId="9" fontId="35" fillId="10" borderId="0" xfId="0" applyNumberFormat="1" applyFont="1" applyFill="1" applyAlignment="1">
      <alignment horizontal="left"/>
    </xf>
    <xf numFmtId="172" fontId="35" fillId="10" borderId="0" xfId="0" applyNumberFormat="1" applyFont="1" applyFill="1" applyAlignment="1">
      <alignment horizontal="left"/>
    </xf>
    <xf numFmtId="9" fontId="13" fillId="9" borderId="0" xfId="0" applyNumberFormat="1" applyFont="1" applyFill="1"/>
    <xf numFmtId="9" fontId="36" fillId="11" borderId="0" xfId="0" applyNumberFormat="1" applyFont="1" applyFill="1" applyAlignment="1">
      <alignment horizontal="left"/>
    </xf>
    <xf numFmtId="166" fontId="36" fillId="11" borderId="0" xfId="0" applyNumberFormat="1" applyFont="1" applyFill="1" applyAlignment="1">
      <alignment horizontal="center"/>
    </xf>
    <xf numFmtId="166" fontId="44" fillId="11" borderId="0" xfId="0" applyNumberFormat="1" applyFont="1" applyFill="1" applyAlignment="1">
      <alignment horizontal="center"/>
    </xf>
    <xf numFmtId="164" fontId="42" fillId="9" borderId="0" xfId="0" applyNumberFormat="1" applyFont="1" applyFill="1"/>
    <xf numFmtId="0" fontId="0" fillId="12" borderId="0" xfId="0" applyFill="1"/>
    <xf numFmtId="0" fontId="45" fillId="12" borderId="0" xfId="0" applyFont="1" applyFill="1"/>
    <xf numFmtId="0" fontId="45" fillId="0" borderId="0" xfId="0" applyFont="1"/>
    <xf numFmtId="0" fontId="46" fillId="0" borderId="0" xfId="0" applyFont="1"/>
    <xf numFmtId="0" fontId="49" fillId="0" borderId="0" xfId="0" applyFont="1"/>
    <xf numFmtId="0" fontId="50" fillId="0" borderId="0" xfId="0" applyFont="1"/>
    <xf numFmtId="0" fontId="47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52" fillId="0" borderId="0" xfId="0" applyFont="1"/>
    <xf numFmtId="0" fontId="34" fillId="13" borderId="0" xfId="0" applyFont="1" applyFill="1"/>
    <xf numFmtId="0" fontId="53" fillId="13" borderId="0" xfId="0" applyFont="1" applyFill="1"/>
    <xf numFmtId="194" fontId="46" fillId="0" borderId="0" xfId="0" applyNumberFormat="1" applyFont="1" applyAlignment="1">
      <alignment horizontal="left"/>
    </xf>
    <xf numFmtId="0" fontId="3" fillId="2" borderId="0" xfId="0" applyFont="1" applyFill="1" applyAlignment="1">
      <alignment horizontal="center"/>
    </xf>
    <xf numFmtId="0" fontId="19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9B00"/>
      <rgbColor rgb="FF000080"/>
      <rgbColor rgb="FF808000"/>
      <rgbColor rgb="FF800080"/>
      <rgbColor rgb="FF156082"/>
      <rgbColor rgb="FFC0C0C0"/>
      <rgbColor rgb="FF7F7F7F"/>
      <rgbColor rgb="FF9999FF"/>
      <rgbColor rgb="FF993366"/>
      <rgbColor rgb="FFF2F2F2"/>
      <rgbColor rgb="FFDC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E2841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474796</xdr:colOff>
      <xdr:row>4</xdr:row>
      <xdr:rowOff>30478</xdr:rowOff>
    </xdr:from>
    <xdr:to>
      <xdr:col>2</xdr:col>
      <xdr:colOff>186175</xdr:colOff>
      <xdr:row>8</xdr:row>
      <xdr:rowOff>18252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8F4B01-586F-7587-598A-8ECC441C44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796" y="731518"/>
          <a:ext cx="1189659" cy="12069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147321</xdr:colOff>
      <xdr:row>18</xdr:row>
      <xdr:rowOff>46144</xdr:rowOff>
    </xdr:from>
    <xdr:to>
      <xdr:col>2</xdr:col>
      <xdr:colOff>590378</xdr:colOff>
      <xdr:row>18</xdr:row>
      <xdr:rowOff>46144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F27397A3-AF59-539F-E862-1BC3C611EEBC}"/>
            </a:ext>
          </a:extLst>
        </xdr:cNvPr>
        <xdr:cNvCxnSpPr/>
      </xdr:nvCxnSpPr>
      <xdr:spPr>
        <a:xfrm>
          <a:off x="147321" y="3911063"/>
          <a:ext cx="1925868" cy="0"/>
        </a:xfrm>
        <a:prstGeom prst="line">
          <a:avLst/>
        </a:prstGeom>
        <a:ln w="28575">
          <a:solidFill>
            <a:schemeClr val="accent1">
              <a:lumMod val="60000"/>
              <a:lumOff val="4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68956</xdr:colOff>
      <xdr:row>7</xdr:row>
      <xdr:rowOff>205</xdr:rowOff>
    </xdr:from>
    <xdr:to>
      <xdr:col>4</xdr:col>
      <xdr:colOff>644956</xdr:colOff>
      <xdr:row>7</xdr:row>
      <xdr:rowOff>205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E193943D-8016-47EF-BF2C-DC8A72660EFC}"/>
            </a:ext>
          </a:extLst>
        </xdr:cNvPr>
        <xdr:cNvCxnSpPr/>
      </xdr:nvCxnSpPr>
      <xdr:spPr>
        <a:xfrm flipV="1">
          <a:off x="2878831" y="1755526"/>
          <a:ext cx="576000" cy="0"/>
        </a:xfrm>
        <a:prstGeom prst="line">
          <a:avLst/>
        </a:prstGeom>
        <a:ln w="28575">
          <a:solidFill>
            <a:schemeClr val="accent1">
              <a:lumMod val="60000"/>
              <a:lumOff val="4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F17"/>
  <sheetViews>
    <sheetView showGridLines="0" tabSelected="1" zoomScaleNormal="100" workbookViewId="0">
      <selection activeCell="N6" sqref="N6"/>
    </sheetView>
  </sheetViews>
  <sheetFormatPr defaultColWidth="8.5546875" defaultRowHeight="13.8" x14ac:dyDescent="0.25"/>
  <cols>
    <col min="1" max="3" width="10.77734375" style="214" customWidth="1"/>
    <col min="4" max="4" width="8.5546875" style="215"/>
    <col min="5" max="5" width="18.6640625" style="215" bestFit="1" customWidth="1"/>
    <col min="6" max="6" width="12.77734375" style="215" bestFit="1" customWidth="1"/>
    <col min="7" max="16384" width="8.5546875" style="215"/>
  </cols>
  <sheetData>
    <row r="5" spans="2:6" ht="43.8" x14ac:dyDescent="0.75">
      <c r="B5" s="213"/>
      <c r="E5" s="220" t="s">
        <v>225</v>
      </c>
      <c r="F5" s="216"/>
    </row>
    <row r="6" spans="2:6" ht="24.6" x14ac:dyDescent="0.4">
      <c r="E6" s="219" t="s">
        <v>226</v>
      </c>
      <c r="F6" s="216"/>
    </row>
    <row r="8" spans="2:6" x14ac:dyDescent="0.25">
      <c r="E8" s="216"/>
      <c r="F8" s="216"/>
    </row>
    <row r="9" spans="2:6" ht="24.6" x14ac:dyDescent="0.4">
      <c r="E9" s="217" t="s">
        <v>227</v>
      </c>
      <c r="F9" s="216"/>
    </row>
    <row r="10" spans="2:6" x14ac:dyDescent="0.25">
      <c r="E10" s="216"/>
      <c r="F10" s="216"/>
    </row>
    <row r="11" spans="2:6" x14ac:dyDescent="0.25">
      <c r="E11" s="216" t="s">
        <v>228</v>
      </c>
      <c r="F11" s="216" t="s">
        <v>232</v>
      </c>
    </row>
    <row r="12" spans="2:6" x14ac:dyDescent="0.25">
      <c r="E12" s="216" t="s">
        <v>229</v>
      </c>
      <c r="F12" s="224">
        <v>46231</v>
      </c>
    </row>
    <row r="13" spans="2:6" x14ac:dyDescent="0.25">
      <c r="E13" s="216" t="s">
        <v>230</v>
      </c>
      <c r="F13" s="216" t="s">
        <v>233</v>
      </c>
    </row>
    <row r="14" spans="2:6" x14ac:dyDescent="0.25">
      <c r="E14" s="216" t="s">
        <v>231</v>
      </c>
      <c r="F14" s="216" t="s">
        <v>234</v>
      </c>
    </row>
    <row r="17" spans="5:5" x14ac:dyDescent="0.25">
      <c r="E17" s="218" t="s">
        <v>235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29"/>
  <sheetViews>
    <sheetView showGridLines="0" workbookViewId="0"/>
  </sheetViews>
  <sheetFormatPr defaultColWidth="8.88671875" defaultRowHeight="13.8" x14ac:dyDescent="0.25"/>
  <cols>
    <col min="1" max="1" width="2.77734375" style="1" customWidth="1"/>
    <col min="2" max="2" width="33.44140625" style="1" customWidth="1"/>
    <col min="3" max="4" width="9.5546875" style="1" customWidth="1"/>
    <col min="5" max="9" width="9.44140625" style="1" customWidth="1"/>
    <col min="10" max="10" width="8.88671875" style="1"/>
    <col min="11" max="11" width="10.109375" style="1" customWidth="1"/>
    <col min="12" max="16384" width="8.88671875" style="1"/>
  </cols>
  <sheetData>
    <row r="2" spans="2:11" ht="19.2" x14ac:dyDescent="0.35">
      <c r="B2" s="2" t="s">
        <v>0</v>
      </c>
    </row>
    <row r="4" spans="2:11" x14ac:dyDescent="0.25">
      <c r="B4" s="3" t="s">
        <v>1</v>
      </c>
      <c r="C4" s="225" t="s">
        <v>2</v>
      </c>
      <c r="D4" s="225"/>
      <c r="E4" s="225" t="s">
        <v>3</v>
      </c>
      <c r="F4" s="225"/>
      <c r="G4" s="225"/>
      <c r="H4" s="225"/>
      <c r="I4" s="225"/>
    </row>
    <row r="5" spans="2:11" x14ac:dyDescent="0.25">
      <c r="B5" s="4"/>
      <c r="C5" s="112" t="s">
        <v>4</v>
      </c>
      <c r="D5" s="112" t="s">
        <v>5</v>
      </c>
      <c r="E5" s="17" t="s">
        <v>6</v>
      </c>
      <c r="F5" s="17" t="s">
        <v>7</v>
      </c>
      <c r="G5" s="17" t="s">
        <v>8</v>
      </c>
      <c r="H5" s="17" t="s">
        <v>9</v>
      </c>
      <c r="I5" s="17" t="s">
        <v>10</v>
      </c>
    </row>
    <row r="6" spans="2:11" x14ac:dyDescent="0.25">
      <c r="B6" s="5"/>
      <c r="C6" s="6"/>
      <c r="D6" s="6"/>
      <c r="E6" s="6"/>
      <c r="F6" s="6"/>
      <c r="G6" s="6"/>
      <c r="H6" s="6"/>
      <c r="I6" s="6"/>
    </row>
    <row r="7" spans="2:11" x14ac:dyDescent="0.25">
      <c r="B7" s="7" t="s">
        <v>11</v>
      </c>
      <c r="C7" s="8"/>
      <c r="D7" s="8"/>
      <c r="E7" s="8"/>
      <c r="F7" s="8"/>
      <c r="G7" s="8"/>
      <c r="H7" s="8"/>
      <c r="I7" s="8"/>
    </row>
    <row r="8" spans="2:11" x14ac:dyDescent="0.25">
      <c r="B8" s="9" t="s">
        <v>12</v>
      </c>
      <c r="C8" s="10">
        <f>('Income Statement'!D11-'Income Statement'!C11)/'Income Statement'!C11</f>
        <v>0.15669962013071279</v>
      </c>
      <c r="D8" s="10">
        <f>('Income Statement'!E11-'Income Statement'!D11)/'Income Statement'!D11</f>
        <v>0.14932156232406721</v>
      </c>
      <c r="E8" s="11">
        <v>0.13</v>
      </c>
      <c r="F8" s="11">
        <v>0.115</v>
      </c>
      <c r="G8" s="11">
        <v>0.1</v>
      </c>
      <c r="H8" s="11">
        <v>8.5000000000000006E-2</v>
      </c>
      <c r="I8" s="11">
        <v>7.4999999999999997E-2</v>
      </c>
      <c r="K8" s="12"/>
    </row>
    <row r="9" spans="2:11" x14ac:dyDescent="0.25">
      <c r="B9" s="13"/>
      <c r="C9" s="10"/>
      <c r="D9" s="10"/>
      <c r="E9" s="10"/>
      <c r="F9" s="10"/>
      <c r="G9" s="10"/>
      <c r="H9" s="10"/>
      <c r="I9" s="10"/>
      <c r="K9" s="12"/>
    </row>
    <row r="10" spans="2:11" x14ac:dyDescent="0.25">
      <c r="B10" s="7" t="s">
        <v>13</v>
      </c>
      <c r="C10" s="14"/>
      <c r="D10" s="14"/>
      <c r="E10" s="14"/>
      <c r="F10" s="14"/>
      <c r="G10" s="14"/>
      <c r="H10" s="14"/>
      <c r="I10" s="14"/>
    </row>
    <row r="11" spans="2:11" x14ac:dyDescent="0.25">
      <c r="B11" s="99" t="s">
        <v>14</v>
      </c>
      <c r="C11" s="10">
        <f>'Income Statement'!D19/'Income Statement'!D11</f>
        <v>0.69764443827971379</v>
      </c>
      <c r="D11" s="10">
        <f>'Income Statement'!E19/'Income Statement'!E11</f>
        <v>0.68823742386165188</v>
      </c>
      <c r="E11" s="11">
        <v>0.69</v>
      </c>
      <c r="F11" s="11">
        <v>0.69099999999999995</v>
      </c>
      <c r="G11" s="11">
        <v>0.69199999999999995</v>
      </c>
      <c r="H11" s="11">
        <v>0.69199999999999995</v>
      </c>
      <c r="I11" s="11">
        <v>0.69299999999999995</v>
      </c>
    </row>
    <row r="12" spans="2:11" x14ac:dyDescent="0.25">
      <c r="B12" s="9" t="s">
        <v>15</v>
      </c>
      <c r="C12" s="10">
        <f>'Income Statement'!D22/'Income Statement'!D11</f>
        <v>0.12038903076835208</v>
      </c>
      <c r="D12" s="10">
        <f>'Income Statement'!E22/'Income Statement'!E11</f>
        <v>0.11531853871164686</v>
      </c>
      <c r="E12" s="11">
        <v>0.115</v>
      </c>
      <c r="F12" s="11">
        <v>0.114</v>
      </c>
      <c r="G12" s="11">
        <v>0.113</v>
      </c>
      <c r="H12" s="11">
        <v>0.112</v>
      </c>
      <c r="I12" s="11">
        <v>0.111</v>
      </c>
    </row>
    <row r="13" spans="2:11" x14ac:dyDescent="0.25">
      <c r="B13" s="9" t="s">
        <v>16</v>
      </c>
      <c r="C13" s="10">
        <f>'Income Statement'!D23/'Income Statement'!D11</f>
        <v>9.9770726413785787E-2</v>
      </c>
      <c r="D13" s="10">
        <f>'Income Statement'!E23/'Income Statement'!E11</f>
        <v>9.1060754497309424E-2</v>
      </c>
      <c r="E13" s="11">
        <v>0.09</v>
      </c>
      <c r="F13" s="11">
        <v>8.8999999999999996E-2</v>
      </c>
      <c r="G13" s="11">
        <v>8.7999999999999995E-2</v>
      </c>
      <c r="H13" s="11">
        <v>8.7999999999999995E-2</v>
      </c>
      <c r="I13" s="11">
        <v>8.6999999999999994E-2</v>
      </c>
    </row>
    <row r="14" spans="2:11" x14ac:dyDescent="0.25">
      <c r="B14" s="9" t="s">
        <v>17</v>
      </c>
      <c r="C14" s="10">
        <f>'Income Statement'!D24/'Income Statement'!D11</f>
        <v>3.1041685364838735E-2</v>
      </c>
      <c r="D14" s="10">
        <f>'Income Statement'!E24/'Income Statement'!E11</f>
        <v>2.5638568244097059E-2</v>
      </c>
      <c r="E14" s="11">
        <v>2.5000000000000001E-2</v>
      </c>
      <c r="F14" s="11">
        <v>2.5000000000000001E-2</v>
      </c>
      <c r="G14" s="11">
        <v>2.4E-2</v>
      </c>
      <c r="H14" s="11">
        <v>2.4E-2</v>
      </c>
      <c r="I14" s="11">
        <v>2.3E-2</v>
      </c>
    </row>
    <row r="15" spans="2:11" x14ac:dyDescent="0.25">
      <c r="B15" s="100" t="s">
        <v>18</v>
      </c>
      <c r="C15" s="15">
        <f>'Income Statement'!D28/'Income Statement'!D11</f>
        <v>0.44644299573273716</v>
      </c>
      <c r="D15" s="15">
        <f>'Income Statement'!E28/'Income Statement'!E11</f>
        <v>0.45621956240859851</v>
      </c>
      <c r="E15" s="15">
        <f>'Income Statement'!F28/'Income Statement'!F11</f>
        <v>0.45999999999999991</v>
      </c>
      <c r="F15" s="15">
        <f>'Income Statement'!G28/'Income Statement'!G11</f>
        <v>0.46299999999999991</v>
      </c>
      <c r="G15" s="15">
        <f>'Income Statement'!H28/'Income Statement'!H11</f>
        <v>0.46699999999999997</v>
      </c>
      <c r="H15" s="15">
        <f>'Income Statement'!I28/'Income Statement'!I11</f>
        <v>0.46800000000000003</v>
      </c>
      <c r="I15" s="15">
        <f>'Income Statement'!J28/'Income Statement'!J11</f>
        <v>0.47199999999999998</v>
      </c>
    </row>
    <row r="16" spans="2:11" x14ac:dyDescent="0.25">
      <c r="B16" s="9" t="s">
        <v>19</v>
      </c>
      <c r="C16" s="10">
        <f>'Income Statement'!D34/'Income Statement'!D32</f>
        <v>0.18231326597827197</v>
      </c>
      <c r="D16" s="10">
        <f>'Income Statement'!E34/'Income Statement'!E32</f>
        <v>0.17629644009803683</v>
      </c>
      <c r="E16" s="11">
        <v>0.18</v>
      </c>
      <c r="F16" s="11">
        <v>0.18</v>
      </c>
      <c r="G16" s="11">
        <v>0.18</v>
      </c>
      <c r="H16" s="11">
        <v>0.18</v>
      </c>
      <c r="I16" s="11">
        <v>0.18</v>
      </c>
    </row>
    <row r="17" spans="2:9" x14ac:dyDescent="0.25">
      <c r="B17" s="13"/>
      <c r="C17" s="10"/>
      <c r="D17" s="10"/>
      <c r="E17" s="10"/>
      <c r="F17" s="10"/>
      <c r="G17" s="10"/>
      <c r="H17" s="10"/>
      <c r="I17" s="10"/>
    </row>
    <row r="18" spans="2:9" x14ac:dyDescent="0.25">
      <c r="B18" s="7" t="s">
        <v>20</v>
      </c>
      <c r="C18" s="14"/>
      <c r="D18" s="14"/>
      <c r="E18" s="14"/>
      <c r="F18" s="14"/>
      <c r="G18" s="14"/>
      <c r="H18" s="14"/>
      <c r="I18" s="14"/>
    </row>
    <row r="19" spans="2:9" x14ac:dyDescent="0.25">
      <c r="B19" s="9" t="s">
        <v>21</v>
      </c>
      <c r="C19" s="10">
        <f>ABS('Cash Flow Statement'!D30)/'Income Statement'!D11</f>
        <v>0.18144842160230415</v>
      </c>
      <c r="D19" s="10">
        <f>ABS('Cash Flow Statement'!E30)/'Income Statement'!E11</f>
        <v>0.22912850875324786</v>
      </c>
      <c r="E19" s="11">
        <v>0.21</v>
      </c>
      <c r="F19" s="11">
        <v>0.2</v>
      </c>
      <c r="G19" s="11">
        <v>0.19</v>
      </c>
      <c r="H19" s="11">
        <v>0.18</v>
      </c>
      <c r="I19" s="11">
        <v>0.17</v>
      </c>
    </row>
    <row r="20" spans="2:9" x14ac:dyDescent="0.25">
      <c r="B20" s="9" t="s">
        <v>22</v>
      </c>
      <c r="C20" s="10">
        <f>'Cash Flow Statement'!D11/'Income Statement'!D11</f>
        <v>9.0922071458294243E-2</v>
      </c>
      <c r="D20" s="10">
        <f>'Cash Flow Statement'!E11/'Income Statement'!E11</f>
        <v>0.12122857832488534</v>
      </c>
      <c r="E20" s="11">
        <v>0.12</v>
      </c>
      <c r="F20" s="11">
        <v>0.12</v>
      </c>
      <c r="G20" s="11">
        <v>0.11799999999999999</v>
      </c>
      <c r="H20" s="11">
        <v>0.11600000000000001</v>
      </c>
      <c r="I20" s="11">
        <v>0.115</v>
      </c>
    </row>
    <row r="21" spans="2:9" x14ac:dyDescent="0.25">
      <c r="B21" s="9" t="s">
        <v>23</v>
      </c>
      <c r="C21" s="10">
        <f>ABS('Cash Flow Statement'!D32)/'Income Statement'!D11</f>
        <v>7.2339488091644158E-2</v>
      </c>
      <c r="D21" s="10">
        <f>ABS('Cash Flow Statement'!E32)/'Income Statement'!E11</f>
        <v>0.10568854623674234</v>
      </c>
      <c r="E21" s="11">
        <v>0.1</v>
      </c>
      <c r="F21" s="11">
        <v>9.5000000000000001E-2</v>
      </c>
      <c r="G21" s="11">
        <v>0.09</v>
      </c>
      <c r="H21" s="11">
        <v>8.5000000000000006E-2</v>
      </c>
      <c r="I21" s="11">
        <v>0.08</v>
      </c>
    </row>
    <row r="22" spans="2:9" x14ac:dyDescent="0.25">
      <c r="B22" s="13"/>
      <c r="C22" s="10"/>
      <c r="D22" s="10"/>
      <c r="E22" s="10"/>
      <c r="F22" s="10"/>
      <c r="G22" s="10"/>
      <c r="H22" s="10"/>
      <c r="I22" s="10"/>
    </row>
    <row r="23" spans="2:9" x14ac:dyDescent="0.25">
      <c r="B23" s="7" t="s">
        <v>24</v>
      </c>
      <c r="C23" s="14"/>
      <c r="D23" s="14"/>
      <c r="E23" s="14"/>
      <c r="F23" s="14"/>
      <c r="G23" s="14"/>
      <c r="H23" s="14"/>
      <c r="I23" s="14"/>
    </row>
    <row r="24" spans="2:9" x14ac:dyDescent="0.25">
      <c r="B24" s="9" t="s">
        <v>25</v>
      </c>
      <c r="C24" s="10">
        <f>'Balance Sheet'!D14/'Income Statement'!D11</f>
        <v>0.23222721746722041</v>
      </c>
      <c r="D24" s="10">
        <f>'Balance Sheet'!E14/'Income Statement'!E11</f>
        <v>0.24813292442248441</v>
      </c>
      <c r="E24" s="11">
        <v>0.25</v>
      </c>
      <c r="F24" s="11">
        <v>0.25</v>
      </c>
      <c r="G24" s="11">
        <v>0.248</v>
      </c>
      <c r="H24" s="11">
        <v>0.245</v>
      </c>
      <c r="I24" s="11">
        <v>0.24</v>
      </c>
    </row>
    <row r="25" spans="2:9" x14ac:dyDescent="0.25">
      <c r="B25" s="9" t="s">
        <v>26</v>
      </c>
      <c r="C25" s="10">
        <f>'Balance Sheet'!D15/'Income Statement'!D11</f>
        <v>5.08318306802327E-3</v>
      </c>
      <c r="D25" s="10">
        <f>'Balance Sheet'!E15/'Income Statement'!E11</f>
        <v>3.3294997941247461E-3</v>
      </c>
      <c r="E25" s="11">
        <v>3.0000000000000001E-3</v>
      </c>
      <c r="F25" s="11">
        <v>3.0000000000000001E-3</v>
      </c>
      <c r="G25" s="11">
        <v>3.0000000000000001E-3</v>
      </c>
      <c r="H25" s="11">
        <v>3.0000000000000001E-3</v>
      </c>
      <c r="I25" s="11">
        <v>3.0000000000000001E-3</v>
      </c>
    </row>
    <row r="26" spans="2:9" x14ac:dyDescent="0.25">
      <c r="B26" s="9" t="s">
        <v>27</v>
      </c>
      <c r="C26" s="10">
        <f>'Balance Sheet'!D35/'Income Statement'!D11</f>
        <v>8.973490751544129E-2</v>
      </c>
      <c r="D26" s="10">
        <f>'Balance Sheet'!E35/'Income Statement'!E11</f>
        <v>9.8408371313768089E-2</v>
      </c>
      <c r="E26" s="11">
        <v>0.1</v>
      </c>
      <c r="F26" s="11">
        <v>0.1</v>
      </c>
      <c r="G26" s="11">
        <v>9.8000000000000004E-2</v>
      </c>
      <c r="H26" s="11">
        <v>9.6000000000000002E-2</v>
      </c>
      <c r="I26" s="11">
        <v>9.5000000000000001E-2</v>
      </c>
    </row>
    <row r="28" spans="2:9" x14ac:dyDescent="0.25">
      <c r="B28" s="7" t="s">
        <v>28</v>
      </c>
      <c r="C28" s="4"/>
      <c r="D28" s="4"/>
      <c r="E28" s="4"/>
      <c r="F28" s="4"/>
      <c r="G28" s="4"/>
      <c r="H28" s="4"/>
      <c r="I28" s="4"/>
    </row>
    <row r="29" spans="2:9" x14ac:dyDescent="0.25">
      <c r="B29" s="9" t="s">
        <v>29</v>
      </c>
      <c r="C29" s="10">
        <f>(ABS('Cash Flow Statement'!D45)-ABS('Cash Flow Statement'!C45))/ABS('Cash Flow Statement'!C45)</f>
        <v>9.9545454545454548E-2</v>
      </c>
      <c r="D29" s="10">
        <f>(ABS('Cash Flow Statement'!E45)-ABS('Cash Flow Statement'!D45))/ABS('Cash Flow Statement'!D45)</f>
        <v>0.10615038353773368</v>
      </c>
      <c r="E29" s="11">
        <v>0.1</v>
      </c>
      <c r="F29" s="11">
        <v>0.1</v>
      </c>
      <c r="G29" s="11">
        <v>9.5000000000000001E-2</v>
      </c>
      <c r="H29" s="11">
        <v>0.09</v>
      </c>
      <c r="I29" s="11">
        <v>8.5000000000000006E-2</v>
      </c>
    </row>
  </sheetData>
  <mergeCells count="2">
    <mergeCell ref="C4:D4"/>
    <mergeCell ref="E4:I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J45"/>
  <sheetViews>
    <sheetView showGridLines="0" workbookViewId="0"/>
  </sheetViews>
  <sheetFormatPr defaultColWidth="8.5546875" defaultRowHeight="13.8" x14ac:dyDescent="0.25"/>
  <cols>
    <col min="1" max="1" width="2.77734375" style="51" customWidth="1"/>
    <col min="2" max="2" width="40.21875" style="51" customWidth="1"/>
    <col min="3" max="5" width="9.5546875" style="51" customWidth="1"/>
    <col min="6" max="10" width="9.44140625" style="51" customWidth="1"/>
    <col min="11" max="16384" width="8.5546875" style="51"/>
  </cols>
  <sheetData>
    <row r="2" spans="2:10" ht="18" customHeight="1" x14ac:dyDescent="0.25">
      <c r="B2" s="50" t="s">
        <v>30</v>
      </c>
    </row>
    <row r="3" spans="2:10" ht="14.25" customHeight="1" x14ac:dyDescent="0.25">
      <c r="C3" s="52"/>
      <c r="D3" s="52"/>
      <c r="E3" s="52"/>
    </row>
    <row r="4" spans="2:10" ht="14.25" customHeight="1" x14ac:dyDescent="0.25">
      <c r="B4" s="53" t="s">
        <v>31</v>
      </c>
      <c r="C4" s="226" t="s">
        <v>2</v>
      </c>
      <c r="D4" s="226"/>
      <c r="E4" s="226"/>
      <c r="F4" s="226" t="s">
        <v>3</v>
      </c>
      <c r="G4" s="226"/>
      <c r="H4" s="226"/>
      <c r="I4" s="226"/>
      <c r="J4" s="226"/>
    </row>
    <row r="5" spans="2:10" ht="14.25" customHeight="1" x14ac:dyDescent="0.25">
      <c r="B5" s="54"/>
      <c r="C5" s="121" t="s">
        <v>32</v>
      </c>
      <c r="D5" s="121" t="s">
        <v>4</v>
      </c>
      <c r="E5" s="121" t="s">
        <v>5</v>
      </c>
      <c r="F5" s="122" t="s">
        <v>6</v>
      </c>
      <c r="G5" s="122" t="s">
        <v>7</v>
      </c>
      <c r="H5" s="122" t="s">
        <v>8</v>
      </c>
      <c r="I5" s="122" t="s">
        <v>9</v>
      </c>
      <c r="J5" s="122" t="s">
        <v>10</v>
      </c>
    </row>
    <row r="6" spans="2:10" ht="14.25" customHeight="1" x14ac:dyDescent="0.25">
      <c r="B6" s="56"/>
      <c r="C6" s="57"/>
      <c r="D6" s="57"/>
      <c r="E6" s="57"/>
      <c r="F6" s="57"/>
      <c r="G6" s="57"/>
      <c r="H6" s="57"/>
      <c r="I6" s="57"/>
      <c r="J6" s="57"/>
    </row>
    <row r="7" spans="2:10" ht="14.25" customHeight="1" x14ac:dyDescent="0.25">
      <c r="B7" s="58" t="s">
        <v>33</v>
      </c>
      <c r="C7" s="54"/>
      <c r="D7" s="54"/>
      <c r="E7" s="54"/>
      <c r="F7" s="59"/>
      <c r="G7" s="59"/>
      <c r="H7" s="59"/>
      <c r="I7" s="59"/>
      <c r="J7" s="59"/>
    </row>
    <row r="8" spans="2:10" ht="14.25" customHeight="1" x14ac:dyDescent="0.25">
      <c r="B8" s="60" t="s">
        <v>34</v>
      </c>
      <c r="C8" s="61">
        <v>64699</v>
      </c>
      <c r="D8" s="61">
        <v>64773</v>
      </c>
      <c r="E8" s="61">
        <v>63946</v>
      </c>
      <c r="F8" s="62">
        <f>E8*(1+Assumptions!E8)</f>
        <v>72258.98</v>
      </c>
      <c r="G8" s="62">
        <f>F8*(1+Assumptions!F8)</f>
        <v>80568.762699999992</v>
      </c>
      <c r="H8" s="62">
        <f>G8*(1+Assumptions!G8)</f>
        <v>88625.63897</v>
      </c>
      <c r="I8" s="62">
        <f>H8*(1+Assumptions!H8)</f>
        <v>96158.818282449996</v>
      </c>
      <c r="J8" s="62">
        <f>I8*(1+Assumptions!I8)</f>
        <v>103370.72965363374</v>
      </c>
    </row>
    <row r="9" spans="2:10" ht="14.25" customHeight="1" x14ac:dyDescent="0.25">
      <c r="B9" s="60" t="s">
        <v>35</v>
      </c>
      <c r="C9" s="103">
        <v>147216</v>
      </c>
      <c r="D9" s="103">
        <v>180349</v>
      </c>
      <c r="E9" s="103">
        <v>217778</v>
      </c>
      <c r="F9" s="145">
        <f>E9*(1+Assumptions!E8)</f>
        <v>246089.13999999998</v>
      </c>
      <c r="G9" s="145">
        <f>F9*(1+Assumptions!F8)</f>
        <v>274389.39110000001</v>
      </c>
      <c r="H9" s="145">
        <f>G9*(1+Assumptions!G8)</f>
        <v>301828.33021000004</v>
      </c>
      <c r="I9" s="145">
        <f>H9*(1+Assumptions!H8)</f>
        <v>327483.73827785003</v>
      </c>
      <c r="J9" s="145">
        <f>I9*(1+Assumptions!I8)</f>
        <v>352045.0186486888</v>
      </c>
    </row>
    <row r="10" spans="2:10" ht="14.25" customHeight="1" x14ac:dyDescent="0.25">
      <c r="B10" s="60"/>
      <c r="C10" s="63"/>
      <c r="D10" s="63"/>
      <c r="E10" s="63"/>
      <c r="F10" s="64"/>
      <c r="G10" s="64"/>
      <c r="H10" s="64"/>
      <c r="I10" s="64"/>
      <c r="J10" s="64"/>
    </row>
    <row r="11" spans="2:10" ht="14.25" customHeight="1" x14ac:dyDescent="0.25">
      <c r="B11" s="162" t="s">
        <v>36</v>
      </c>
      <c r="C11" s="163">
        <f t="shared" ref="C11:J11" si="0">SUM(C8:C9)</f>
        <v>211915</v>
      </c>
      <c r="D11" s="163">
        <f t="shared" si="0"/>
        <v>245122</v>
      </c>
      <c r="E11" s="163">
        <f t="shared" si="0"/>
        <v>281724</v>
      </c>
      <c r="F11" s="164">
        <f t="shared" si="0"/>
        <v>318348.12</v>
      </c>
      <c r="G11" s="164">
        <f t="shared" si="0"/>
        <v>354958.15379999997</v>
      </c>
      <c r="H11" s="164">
        <f t="shared" si="0"/>
        <v>390453.96918000001</v>
      </c>
      <c r="I11" s="164">
        <f t="shared" si="0"/>
        <v>423642.55656030006</v>
      </c>
      <c r="J11" s="164">
        <f t="shared" si="0"/>
        <v>455415.74830232252</v>
      </c>
    </row>
    <row r="12" spans="2:10" ht="14.25" customHeight="1" x14ac:dyDescent="0.25">
      <c r="B12" s="65"/>
      <c r="C12" s="66"/>
      <c r="D12" s="66"/>
      <c r="E12" s="66"/>
      <c r="F12" s="67"/>
      <c r="G12" s="67"/>
      <c r="H12" s="67"/>
      <c r="I12" s="67"/>
      <c r="J12" s="67"/>
    </row>
    <row r="13" spans="2:10" ht="14.25" hidden="1" customHeight="1" x14ac:dyDescent="0.25">
      <c r="B13" s="68" t="s">
        <v>37</v>
      </c>
      <c r="C13" s="69"/>
      <c r="D13" s="69"/>
      <c r="E13" s="69"/>
      <c r="F13" s="64"/>
      <c r="G13" s="64"/>
      <c r="H13" s="64"/>
      <c r="I13" s="64"/>
      <c r="J13" s="64"/>
    </row>
    <row r="14" spans="2:10" ht="14.25" hidden="1" customHeight="1" x14ac:dyDescent="0.25">
      <c r="B14" s="60" t="s">
        <v>38</v>
      </c>
      <c r="C14" s="63">
        <v>17804</v>
      </c>
      <c r="D14" s="63">
        <v>15272</v>
      </c>
      <c r="E14" s="63">
        <v>13501</v>
      </c>
      <c r="F14" s="64"/>
      <c r="G14" s="64"/>
      <c r="H14" s="64"/>
      <c r="I14" s="64"/>
      <c r="J14" s="64"/>
    </row>
    <row r="15" spans="2:10" ht="14.25" hidden="1" customHeight="1" x14ac:dyDescent="0.25">
      <c r="B15" s="60" t="s">
        <v>39</v>
      </c>
      <c r="C15" s="63">
        <v>48059</v>
      </c>
      <c r="D15" s="63">
        <v>58842</v>
      </c>
      <c r="E15" s="63">
        <v>74330</v>
      </c>
      <c r="F15" s="64"/>
      <c r="G15" s="64"/>
      <c r="H15" s="64"/>
      <c r="I15" s="64"/>
      <c r="J15" s="64"/>
    </row>
    <row r="16" spans="2:10" ht="14.25" customHeight="1" x14ac:dyDescent="0.25">
      <c r="B16" s="60"/>
      <c r="C16" s="63"/>
      <c r="D16" s="63"/>
      <c r="E16" s="63"/>
      <c r="F16" s="64"/>
      <c r="G16" s="64"/>
      <c r="H16" s="64"/>
      <c r="I16" s="64"/>
      <c r="J16" s="64"/>
    </row>
    <row r="17" spans="2:10" ht="14.25" customHeight="1" x14ac:dyDescent="0.25">
      <c r="B17" s="162" t="s">
        <v>40</v>
      </c>
      <c r="C17" s="163">
        <f>SUM(C14:C15)</f>
        <v>65863</v>
      </c>
      <c r="D17" s="163">
        <f>SUM(D14:D15)</f>
        <v>74114</v>
      </c>
      <c r="E17" s="163">
        <f>SUM(E14:E15)</f>
        <v>87831</v>
      </c>
      <c r="F17" s="164">
        <f>F11-F19</f>
        <v>98687.917200000025</v>
      </c>
      <c r="G17" s="164">
        <f>G11-G19</f>
        <v>109682.06952420002</v>
      </c>
      <c r="H17" s="164">
        <f>H11-H19</f>
        <v>120259.82250744</v>
      </c>
      <c r="I17" s="164">
        <f>I11-I19</f>
        <v>130481.90742057242</v>
      </c>
      <c r="J17" s="164">
        <f>J11-J19</f>
        <v>139812.63472881302</v>
      </c>
    </row>
    <row r="18" spans="2:10" ht="14.25" customHeight="1" x14ac:dyDescent="0.25">
      <c r="B18" s="70"/>
      <c r="C18" s="71"/>
      <c r="D18" s="71"/>
      <c r="E18" s="71"/>
      <c r="F18" s="67"/>
      <c r="G18" s="67"/>
      <c r="H18" s="67"/>
      <c r="I18" s="67"/>
      <c r="J18" s="67"/>
    </row>
    <row r="19" spans="2:10" ht="14.25" customHeight="1" x14ac:dyDescent="0.25">
      <c r="B19" s="165" t="s">
        <v>41</v>
      </c>
      <c r="C19" s="166">
        <f>C11-C17</f>
        <v>146052</v>
      </c>
      <c r="D19" s="166">
        <f>D11-D17</f>
        <v>171008</v>
      </c>
      <c r="E19" s="163">
        <f>E11-E17</f>
        <v>193893</v>
      </c>
      <c r="F19" s="164">
        <f>F11*Assumptions!E11</f>
        <v>219660.20279999997</v>
      </c>
      <c r="G19" s="164">
        <f>G11*Assumptions!F11</f>
        <v>245276.08427579995</v>
      </c>
      <c r="H19" s="164">
        <f>H11*Assumptions!G11</f>
        <v>270194.14667256002</v>
      </c>
      <c r="I19" s="164">
        <f>I11*Assumptions!H11</f>
        <v>293160.64913972764</v>
      </c>
      <c r="J19" s="164">
        <f>J11*Assumptions!I11</f>
        <v>315603.1135735095</v>
      </c>
    </row>
    <row r="20" spans="2:10" ht="14.25" customHeight="1" x14ac:dyDescent="0.25">
      <c r="B20" s="72"/>
      <c r="C20" s="73"/>
      <c r="D20" s="73"/>
      <c r="E20" s="71"/>
      <c r="F20" s="67"/>
      <c r="G20" s="67"/>
      <c r="H20" s="67"/>
      <c r="I20" s="67"/>
      <c r="J20" s="67"/>
    </row>
    <row r="21" spans="2:10" ht="14.25" customHeight="1" x14ac:dyDescent="0.25">
      <c r="B21" s="58" t="s">
        <v>42</v>
      </c>
      <c r="C21" s="74"/>
      <c r="D21" s="74"/>
      <c r="E21" s="74"/>
      <c r="F21" s="75"/>
      <c r="G21" s="75"/>
      <c r="H21" s="75"/>
      <c r="I21" s="75"/>
      <c r="J21" s="75"/>
    </row>
    <row r="22" spans="2:10" ht="14.25" customHeight="1" x14ac:dyDescent="0.25">
      <c r="B22" s="60" t="s">
        <v>43</v>
      </c>
      <c r="C22" s="63">
        <v>27195</v>
      </c>
      <c r="D22" s="63">
        <v>29510</v>
      </c>
      <c r="E22" s="63">
        <v>32488</v>
      </c>
      <c r="F22" s="64">
        <f>F11*Assumptions!E12</f>
        <v>36610.033799999997</v>
      </c>
      <c r="G22" s="64">
        <f>G11*Assumptions!F12</f>
        <v>40465.229533199999</v>
      </c>
      <c r="H22" s="64">
        <f>H11*Assumptions!G12</f>
        <v>44121.298517340001</v>
      </c>
      <c r="I22" s="64">
        <f>I11*Assumptions!H12</f>
        <v>47447.966334753604</v>
      </c>
      <c r="J22" s="64">
        <f>J11*Assumptions!I12</f>
        <v>50551.148061557804</v>
      </c>
    </row>
    <row r="23" spans="2:10" ht="14.25" customHeight="1" x14ac:dyDescent="0.25">
      <c r="B23" s="60" t="s">
        <v>44</v>
      </c>
      <c r="C23" s="63">
        <v>22759</v>
      </c>
      <c r="D23" s="63">
        <v>24456</v>
      </c>
      <c r="E23" s="63">
        <v>25654</v>
      </c>
      <c r="F23" s="64">
        <f>F11*Assumptions!E13</f>
        <v>28651.3308</v>
      </c>
      <c r="G23" s="64">
        <f>G11*Assumptions!F13</f>
        <v>31591.275688199996</v>
      </c>
      <c r="H23" s="64">
        <f>H11*Assumptions!G13</f>
        <v>34359.949287839998</v>
      </c>
      <c r="I23" s="64">
        <f>I11*Assumptions!H13</f>
        <v>37280.544977306403</v>
      </c>
      <c r="J23" s="64">
        <f>J11*Assumptions!I13</f>
        <v>39621.170102302058</v>
      </c>
    </row>
    <row r="24" spans="2:10" ht="14.25" customHeight="1" x14ac:dyDescent="0.25">
      <c r="B24" s="60" t="s">
        <v>45</v>
      </c>
      <c r="C24" s="63">
        <v>7575</v>
      </c>
      <c r="D24" s="63">
        <v>7609</v>
      </c>
      <c r="E24" s="63">
        <v>7223</v>
      </c>
      <c r="F24" s="64">
        <f>F11*Assumptions!E14</f>
        <v>7958.7030000000004</v>
      </c>
      <c r="G24" s="64">
        <f>G11*Assumptions!F14</f>
        <v>8873.953845</v>
      </c>
      <c r="H24" s="64">
        <f>H11*Assumptions!G14</f>
        <v>9370.8952603200014</v>
      </c>
      <c r="I24" s="64">
        <f>I11*Assumptions!H14</f>
        <v>10167.421357447201</v>
      </c>
      <c r="J24" s="64">
        <f>J11*Assumptions!I14</f>
        <v>10474.562210953418</v>
      </c>
    </row>
    <row r="25" spans="2:10" ht="14.25" customHeight="1" x14ac:dyDescent="0.25">
      <c r="B25" s="52"/>
      <c r="C25" s="63"/>
      <c r="D25" s="63"/>
      <c r="E25" s="63"/>
      <c r="F25" s="64"/>
      <c r="G25" s="64"/>
      <c r="H25" s="64"/>
      <c r="I25" s="64"/>
      <c r="J25" s="64"/>
    </row>
    <row r="26" spans="2:10" ht="14.25" customHeight="1" x14ac:dyDescent="0.25">
      <c r="B26" s="167" t="s">
        <v>46</v>
      </c>
      <c r="C26" s="163">
        <f t="shared" ref="C26:J26" si="1">SUM(C22:C24)</f>
        <v>57529</v>
      </c>
      <c r="D26" s="163">
        <f t="shared" si="1"/>
        <v>61575</v>
      </c>
      <c r="E26" s="163">
        <f t="shared" si="1"/>
        <v>65365</v>
      </c>
      <c r="F26" s="164">
        <f t="shared" si="1"/>
        <v>73220.067599999995</v>
      </c>
      <c r="G26" s="164">
        <f t="shared" si="1"/>
        <v>80930.459066399999</v>
      </c>
      <c r="H26" s="164">
        <f t="shared" si="1"/>
        <v>87852.1430655</v>
      </c>
      <c r="I26" s="164">
        <f t="shared" si="1"/>
        <v>94895.932669507194</v>
      </c>
      <c r="J26" s="164">
        <f t="shared" si="1"/>
        <v>100646.88037481328</v>
      </c>
    </row>
    <row r="27" spans="2:10" ht="14.25" customHeight="1" x14ac:dyDescent="0.25">
      <c r="B27" s="76"/>
      <c r="C27" s="77"/>
      <c r="D27" s="77"/>
      <c r="E27" s="66"/>
      <c r="F27" s="67"/>
      <c r="G27" s="67"/>
      <c r="H27" s="67"/>
      <c r="I27" s="67"/>
      <c r="J27" s="67"/>
    </row>
    <row r="28" spans="2:10" ht="14.25" customHeight="1" x14ac:dyDescent="0.25">
      <c r="B28" s="168" t="s">
        <v>47</v>
      </c>
      <c r="C28" s="169">
        <f t="shared" ref="C28:J28" si="2">C19-C26</f>
        <v>88523</v>
      </c>
      <c r="D28" s="163">
        <f t="shared" si="2"/>
        <v>109433</v>
      </c>
      <c r="E28" s="163">
        <f t="shared" si="2"/>
        <v>128528</v>
      </c>
      <c r="F28" s="164">
        <f t="shared" si="2"/>
        <v>146440.13519999996</v>
      </c>
      <c r="G28" s="164">
        <f t="shared" si="2"/>
        <v>164345.62520939996</v>
      </c>
      <c r="H28" s="164">
        <f t="shared" si="2"/>
        <v>182342.00360706</v>
      </c>
      <c r="I28" s="164">
        <f t="shared" si="2"/>
        <v>198264.71647022045</v>
      </c>
      <c r="J28" s="164">
        <f t="shared" si="2"/>
        <v>214956.23319869622</v>
      </c>
    </row>
    <row r="29" spans="2:10" ht="14.25" customHeight="1" x14ac:dyDescent="0.25">
      <c r="B29" s="78"/>
      <c r="C29" s="79"/>
      <c r="D29" s="71"/>
      <c r="E29" s="71"/>
      <c r="F29" s="67"/>
      <c r="G29" s="67"/>
      <c r="H29" s="67"/>
      <c r="I29" s="67"/>
      <c r="J29" s="67"/>
    </row>
    <row r="30" spans="2:10" ht="14.25" customHeight="1" x14ac:dyDescent="0.25">
      <c r="B30" s="60" t="s">
        <v>48</v>
      </c>
      <c r="C30" s="63">
        <v>788</v>
      </c>
      <c r="D30" s="63">
        <v>-1646</v>
      </c>
      <c r="E30" s="63">
        <v>-4901</v>
      </c>
      <c r="F30" s="104">
        <f>E30</f>
        <v>-4901</v>
      </c>
      <c r="G30" s="104">
        <f>F30</f>
        <v>-4901</v>
      </c>
      <c r="H30" s="104">
        <f>G30</f>
        <v>-4901</v>
      </c>
      <c r="I30" s="104">
        <f>H30</f>
        <v>-4901</v>
      </c>
      <c r="J30" s="104">
        <f>I30</f>
        <v>-4901</v>
      </c>
    </row>
    <row r="31" spans="2:10" ht="14.25" customHeight="1" x14ac:dyDescent="0.25">
      <c r="B31" s="52"/>
      <c r="C31" s="63"/>
      <c r="D31" s="63"/>
      <c r="E31" s="63"/>
      <c r="F31" s="64"/>
      <c r="G31" s="64"/>
      <c r="H31" s="64"/>
      <c r="I31" s="64"/>
      <c r="J31" s="64"/>
    </row>
    <row r="32" spans="2:10" ht="14.25" customHeight="1" x14ac:dyDescent="0.25">
      <c r="B32" s="167" t="s">
        <v>49</v>
      </c>
      <c r="C32" s="163">
        <f t="shared" ref="C32:J32" si="3">SUM(C28:C30)</f>
        <v>89311</v>
      </c>
      <c r="D32" s="163">
        <f t="shared" si="3"/>
        <v>107787</v>
      </c>
      <c r="E32" s="166">
        <f t="shared" si="3"/>
        <v>123627</v>
      </c>
      <c r="F32" s="170">
        <f t="shared" si="3"/>
        <v>141539.13519999996</v>
      </c>
      <c r="G32" s="170">
        <f t="shared" si="3"/>
        <v>159444.62520939996</v>
      </c>
      <c r="H32" s="170">
        <f t="shared" si="3"/>
        <v>177441.00360706</v>
      </c>
      <c r="I32" s="170">
        <f t="shared" si="3"/>
        <v>193363.71647022045</v>
      </c>
      <c r="J32" s="170">
        <f t="shared" si="3"/>
        <v>210055.23319869622</v>
      </c>
    </row>
    <row r="33" spans="2:10" ht="14.25" customHeight="1" x14ac:dyDescent="0.25">
      <c r="B33" s="80"/>
      <c r="C33" s="71"/>
      <c r="D33" s="71"/>
      <c r="E33" s="71"/>
      <c r="F33" s="67"/>
      <c r="G33" s="67"/>
      <c r="H33" s="67"/>
      <c r="I33" s="67"/>
      <c r="J33" s="67"/>
    </row>
    <row r="34" spans="2:10" ht="14.25" customHeight="1" x14ac:dyDescent="0.25">
      <c r="B34" s="60" t="s">
        <v>50</v>
      </c>
      <c r="C34" s="63">
        <v>16950</v>
      </c>
      <c r="D34" s="63">
        <v>19651</v>
      </c>
      <c r="E34" s="63">
        <v>21795</v>
      </c>
      <c r="F34" s="64">
        <f>F32*Assumptions!E16</f>
        <v>25477.044335999992</v>
      </c>
      <c r="G34" s="64">
        <f>G32*Assumptions!F16</f>
        <v>28700.032537691994</v>
      </c>
      <c r="H34" s="64">
        <f>H32*Assumptions!G16</f>
        <v>31939.380649270799</v>
      </c>
      <c r="I34" s="64">
        <f>I32*Assumptions!H16</f>
        <v>34805.46896463968</v>
      </c>
      <c r="J34" s="64">
        <f>J32*Assumptions!I16</f>
        <v>37809.941975765316</v>
      </c>
    </row>
    <row r="35" spans="2:10" ht="14.25" customHeight="1" x14ac:dyDescent="0.25">
      <c r="B35" s="52"/>
      <c r="C35" s="61"/>
      <c r="D35" s="61"/>
      <c r="E35" s="61"/>
      <c r="F35" s="62"/>
      <c r="G35" s="64"/>
      <c r="H35" s="64"/>
      <c r="I35" s="64"/>
      <c r="J35" s="64"/>
    </row>
    <row r="36" spans="2:10" ht="14.25" customHeight="1" x14ac:dyDescent="0.25">
      <c r="B36" s="167" t="s">
        <v>51</v>
      </c>
      <c r="C36" s="171">
        <f t="shared" ref="C36:J36" si="4">C32-C34</f>
        <v>72361</v>
      </c>
      <c r="D36" s="171">
        <f t="shared" si="4"/>
        <v>88136</v>
      </c>
      <c r="E36" s="171">
        <f t="shared" si="4"/>
        <v>101832</v>
      </c>
      <c r="F36" s="172">
        <f t="shared" si="4"/>
        <v>116062.09086399997</v>
      </c>
      <c r="G36" s="164">
        <f t="shared" si="4"/>
        <v>130744.59267170797</v>
      </c>
      <c r="H36" s="164">
        <f t="shared" si="4"/>
        <v>145501.62295778919</v>
      </c>
      <c r="I36" s="164">
        <f t="shared" si="4"/>
        <v>158558.24750558077</v>
      </c>
      <c r="J36" s="164">
        <f t="shared" si="4"/>
        <v>172245.29122293091</v>
      </c>
    </row>
    <row r="37" spans="2:10" ht="14.25" customHeight="1" x14ac:dyDescent="0.25">
      <c r="B37" s="65"/>
      <c r="C37" s="81"/>
      <c r="D37" s="81"/>
      <c r="E37" s="81"/>
      <c r="F37" s="82"/>
      <c r="G37" s="67"/>
      <c r="H37" s="67"/>
      <c r="I37" s="67"/>
      <c r="J37" s="67"/>
    </row>
    <row r="38" spans="2:10" ht="14.25" customHeight="1" x14ac:dyDescent="0.25">
      <c r="B38" s="58" t="s">
        <v>52</v>
      </c>
      <c r="C38" s="83"/>
      <c r="D38" s="83"/>
      <c r="E38" s="83"/>
      <c r="F38" s="84"/>
      <c r="G38" s="75"/>
      <c r="H38" s="75"/>
      <c r="I38" s="75"/>
      <c r="J38" s="75"/>
    </row>
    <row r="39" spans="2:10" ht="14.25" customHeight="1" x14ac:dyDescent="0.25">
      <c r="B39" s="60" t="s">
        <v>53</v>
      </c>
      <c r="C39" s="85">
        <f t="shared" ref="C39:J39" si="5">C36/C43</f>
        <v>9.7181036798280953</v>
      </c>
      <c r="D39" s="85">
        <f t="shared" si="5"/>
        <v>11.860584039833132</v>
      </c>
      <c r="E39" s="85">
        <f t="shared" si="5"/>
        <v>13.681580008061266</v>
      </c>
      <c r="F39" s="102">
        <f t="shared" si="5"/>
        <v>15.593455711944104</v>
      </c>
      <c r="G39" s="102">
        <f t="shared" si="5"/>
        <v>17.566114828927578</v>
      </c>
      <c r="H39" s="102">
        <f t="shared" si="5"/>
        <v>19.548787176916459</v>
      </c>
      <c r="I39" s="102">
        <f t="shared" si="5"/>
        <v>21.303002486306699</v>
      </c>
      <c r="J39" s="102">
        <f t="shared" si="5"/>
        <v>23.141917401979164</v>
      </c>
    </row>
    <row r="40" spans="2:10" ht="14.25" customHeight="1" x14ac:dyDescent="0.25">
      <c r="B40" s="60" t="s">
        <v>54</v>
      </c>
      <c r="C40" s="85">
        <f t="shared" ref="C40:J40" si="6">C36/C44</f>
        <v>9.6842880085653107</v>
      </c>
      <c r="D40" s="85">
        <f t="shared" si="6"/>
        <v>11.800240996117285</v>
      </c>
      <c r="E40" s="85">
        <f t="shared" si="6"/>
        <v>13.628479657387579</v>
      </c>
      <c r="F40" s="102">
        <f t="shared" si="6"/>
        <v>15.532935072805135</v>
      </c>
      <c r="G40" s="102">
        <f t="shared" si="6"/>
        <v>17.497937991395606</v>
      </c>
      <c r="H40" s="102">
        <f t="shared" si="6"/>
        <v>19.472915278076712</v>
      </c>
      <c r="I40" s="102">
        <f t="shared" si="6"/>
        <v>21.220322203637682</v>
      </c>
      <c r="J40" s="102">
        <f t="shared" si="6"/>
        <v>23.052100003068912</v>
      </c>
    </row>
    <row r="41" spans="2:10" ht="14.25" customHeight="1" x14ac:dyDescent="0.25">
      <c r="B41" s="52" t="s">
        <v>55</v>
      </c>
      <c r="C41" s="61"/>
      <c r="D41" s="61"/>
      <c r="E41" s="61"/>
      <c r="F41" s="62"/>
      <c r="G41" s="64"/>
      <c r="H41" s="64"/>
      <c r="I41" s="64"/>
      <c r="J41" s="64"/>
    </row>
    <row r="42" spans="2:10" ht="14.25" customHeight="1" x14ac:dyDescent="0.25">
      <c r="B42" s="58" t="s">
        <v>56</v>
      </c>
      <c r="C42" s="83"/>
      <c r="D42" s="83"/>
      <c r="E42" s="83"/>
      <c r="F42" s="84"/>
      <c r="G42" s="75"/>
      <c r="H42" s="75"/>
      <c r="I42" s="75"/>
      <c r="J42" s="75"/>
    </row>
    <row r="43" spans="2:10" ht="14.25" customHeight="1" x14ac:dyDescent="0.25">
      <c r="B43" s="60" t="s">
        <v>53</v>
      </c>
      <c r="C43" s="86">
        <v>7446</v>
      </c>
      <c r="D43" s="86">
        <v>7431</v>
      </c>
      <c r="E43" s="86">
        <v>7443</v>
      </c>
      <c r="F43" s="64">
        <f t="shared" ref="F43:J44" si="7">E43</f>
        <v>7443</v>
      </c>
      <c r="G43" s="64">
        <f t="shared" si="7"/>
        <v>7443</v>
      </c>
      <c r="H43" s="64">
        <f t="shared" si="7"/>
        <v>7443</v>
      </c>
      <c r="I43" s="64">
        <f t="shared" si="7"/>
        <v>7443</v>
      </c>
      <c r="J43" s="64">
        <f t="shared" si="7"/>
        <v>7443</v>
      </c>
    </row>
    <row r="44" spans="2:10" ht="14.25" customHeight="1" x14ac:dyDescent="0.25">
      <c r="B44" s="60" t="s">
        <v>54</v>
      </c>
      <c r="C44" s="86">
        <v>7472</v>
      </c>
      <c r="D44" s="86">
        <v>7469</v>
      </c>
      <c r="E44" s="86">
        <v>7472</v>
      </c>
      <c r="F44" s="64">
        <f t="shared" si="7"/>
        <v>7472</v>
      </c>
      <c r="G44" s="64">
        <f t="shared" si="7"/>
        <v>7472</v>
      </c>
      <c r="H44" s="64">
        <f t="shared" si="7"/>
        <v>7472</v>
      </c>
      <c r="I44" s="64">
        <f t="shared" si="7"/>
        <v>7472</v>
      </c>
      <c r="J44" s="64">
        <f t="shared" si="7"/>
        <v>7472</v>
      </c>
    </row>
    <row r="45" spans="2:10" ht="14.25" customHeight="1" x14ac:dyDescent="0.25">
      <c r="C45" s="87"/>
      <c r="D45" s="87"/>
      <c r="E45" s="87"/>
    </row>
  </sheetData>
  <mergeCells count="2">
    <mergeCell ref="C4:E4"/>
    <mergeCell ref="F4:J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J66"/>
  <sheetViews>
    <sheetView showGridLines="0" workbookViewId="0"/>
  </sheetViews>
  <sheetFormatPr defaultColWidth="8.88671875" defaultRowHeight="13.8" x14ac:dyDescent="0.25"/>
  <cols>
    <col min="1" max="1" width="2.77734375" style="1" customWidth="1"/>
    <col min="2" max="2" width="42.21875" style="1" customWidth="1"/>
    <col min="3" max="8" width="9.5546875" style="1" customWidth="1"/>
    <col min="9" max="10" width="10.109375" style="1" customWidth="1"/>
    <col min="11" max="16384" width="8.88671875" style="1"/>
  </cols>
  <sheetData>
    <row r="2" spans="2:10" ht="18" customHeight="1" x14ac:dyDescent="0.35">
      <c r="B2" s="2" t="s">
        <v>57</v>
      </c>
    </row>
    <row r="4" spans="2:10" ht="13.5" customHeight="1" x14ac:dyDescent="0.25">
      <c r="B4" s="22" t="s">
        <v>58</v>
      </c>
      <c r="C4" s="227" t="s">
        <v>59</v>
      </c>
      <c r="D4" s="227"/>
      <c r="E4" s="227"/>
      <c r="F4" s="227" t="s">
        <v>3</v>
      </c>
      <c r="G4" s="227"/>
      <c r="H4" s="227"/>
      <c r="I4" s="227"/>
      <c r="J4" s="227"/>
    </row>
    <row r="5" spans="2:10" ht="13.5" customHeight="1" x14ac:dyDescent="0.25">
      <c r="B5" s="4"/>
      <c r="C5" s="121" t="s">
        <v>32</v>
      </c>
      <c r="D5" s="121" t="s">
        <v>4</v>
      </c>
      <c r="E5" s="121" t="s">
        <v>5</v>
      </c>
      <c r="F5" s="123" t="s">
        <v>6</v>
      </c>
      <c r="G5" s="123" t="s">
        <v>7</v>
      </c>
      <c r="H5" s="123" t="s">
        <v>8</v>
      </c>
      <c r="I5" s="123" t="s">
        <v>9</v>
      </c>
      <c r="J5" s="123" t="s">
        <v>10</v>
      </c>
    </row>
    <row r="6" spans="2:10" ht="13.5" customHeight="1" x14ac:dyDescent="0.25">
      <c r="B6" s="23"/>
      <c r="C6" s="18"/>
      <c r="D6" s="18"/>
      <c r="E6" s="18"/>
      <c r="F6" s="18"/>
      <c r="G6" s="18"/>
      <c r="H6" s="18"/>
      <c r="I6" s="18"/>
      <c r="J6" s="18"/>
    </row>
    <row r="7" spans="2:10" ht="13.5" customHeight="1" x14ac:dyDescent="0.25">
      <c r="B7" s="161" t="s">
        <v>60</v>
      </c>
      <c r="C7" s="227"/>
      <c r="D7" s="227"/>
      <c r="E7" s="227"/>
      <c r="F7" s="227"/>
      <c r="G7" s="227"/>
      <c r="H7" s="227"/>
      <c r="I7" s="227"/>
      <c r="J7" s="227"/>
    </row>
    <row r="8" spans="2:10" ht="13.5" customHeight="1" x14ac:dyDescent="0.25">
      <c r="B8" s="24"/>
      <c r="C8" s="23"/>
      <c r="D8" s="23"/>
      <c r="E8" s="23"/>
      <c r="F8" s="23"/>
      <c r="G8" s="23"/>
      <c r="H8" s="23"/>
      <c r="I8" s="23"/>
      <c r="J8" s="23"/>
    </row>
    <row r="9" spans="2:10" ht="13.5" customHeight="1" x14ac:dyDescent="0.25">
      <c r="B9" s="7" t="s">
        <v>61</v>
      </c>
      <c r="C9" s="8"/>
      <c r="D9" s="8"/>
      <c r="E9" s="8"/>
      <c r="F9" s="4"/>
      <c r="G9" s="4"/>
      <c r="H9" s="4"/>
      <c r="I9" s="4"/>
      <c r="J9" s="4"/>
    </row>
    <row r="10" spans="2:10" ht="13.5" customHeight="1" x14ac:dyDescent="0.25">
      <c r="B10" s="9" t="s">
        <v>62</v>
      </c>
      <c r="C10" s="25">
        <f>'Cash Flow Statement'!C56</f>
        <v>34704</v>
      </c>
      <c r="D10" s="25">
        <f>'Cash Flow Statement'!D56</f>
        <v>18315</v>
      </c>
      <c r="E10" s="25">
        <f>'Cash Flow Statement'!E56</f>
        <v>30242</v>
      </c>
      <c r="F10" s="149">
        <f>'Cash Flow Statement'!F56</f>
        <v>53739.485703999977</v>
      </c>
      <c r="G10" s="149">
        <f>'Cash Flow Statement'!G56</f>
        <v>87625.846289307941</v>
      </c>
      <c r="H10" s="149">
        <f>'Cash Flow Statement'!H56</f>
        <v>132535.62058679713</v>
      </c>
      <c r="I10" s="149">
        <f>'Cash Flow Statement'!I56</f>
        <v>188537.79982126754</v>
      </c>
      <c r="J10" s="149">
        <f>'Cash Flow Statement'!J56</f>
        <v>258558.76197817177</v>
      </c>
    </row>
    <row r="11" spans="2:10" ht="13.5" customHeight="1" x14ac:dyDescent="0.25">
      <c r="B11" s="9" t="s">
        <v>63</v>
      </c>
      <c r="C11" s="26">
        <v>76558</v>
      </c>
      <c r="D11" s="26">
        <v>57228</v>
      </c>
      <c r="E11" s="26">
        <v>64323</v>
      </c>
      <c r="F11" s="27">
        <f>E11-'Cash Flow Statement'!F32</f>
        <v>96157.812000000005</v>
      </c>
      <c r="G11" s="28">
        <f>F11-'Cash Flow Statement'!G32</f>
        <v>129878.83661100001</v>
      </c>
      <c r="H11" s="28">
        <f>G11-'Cash Flow Statement'!H32</f>
        <v>165019.6938372</v>
      </c>
      <c r="I11" s="28">
        <f>H11-'Cash Flow Statement'!I32</f>
        <v>201029.31114482551</v>
      </c>
      <c r="J11" s="28">
        <f>I11-'Cash Flow Statement'!J32</f>
        <v>237462.5710090113</v>
      </c>
    </row>
    <row r="12" spans="2:10" ht="13.5" customHeight="1" x14ac:dyDescent="0.25">
      <c r="B12" s="13"/>
      <c r="C12" s="26"/>
      <c r="D12" s="26"/>
      <c r="E12" s="26"/>
      <c r="F12" s="28"/>
      <c r="G12" s="28"/>
      <c r="H12" s="28"/>
      <c r="I12" s="28"/>
      <c r="J12" s="28"/>
    </row>
    <row r="13" spans="2:10" ht="13.5" customHeight="1" x14ac:dyDescent="0.25">
      <c r="B13" s="7" t="s">
        <v>64</v>
      </c>
      <c r="C13" s="148">
        <f t="shared" ref="C13:J13" si="0">SUM(C10:C11)</f>
        <v>111262</v>
      </c>
      <c r="D13" s="148">
        <f t="shared" si="0"/>
        <v>75543</v>
      </c>
      <c r="E13" s="148">
        <f t="shared" si="0"/>
        <v>94565</v>
      </c>
      <c r="F13" s="30">
        <f t="shared" si="0"/>
        <v>149897.29770399997</v>
      </c>
      <c r="G13" s="30">
        <f t="shared" si="0"/>
        <v>217504.68290030793</v>
      </c>
      <c r="H13" s="30">
        <f t="shared" si="0"/>
        <v>297555.31442399713</v>
      </c>
      <c r="I13" s="30">
        <f t="shared" si="0"/>
        <v>389567.11096609302</v>
      </c>
      <c r="J13" s="30">
        <f t="shared" si="0"/>
        <v>496021.33298718306</v>
      </c>
    </row>
    <row r="14" spans="2:10" ht="13.5" customHeight="1" x14ac:dyDescent="0.25">
      <c r="B14" s="9" t="s">
        <v>65</v>
      </c>
      <c r="C14" s="26">
        <v>48688</v>
      </c>
      <c r="D14" s="26">
        <v>56924</v>
      </c>
      <c r="E14" s="26">
        <v>69905</v>
      </c>
      <c r="F14" s="28">
        <f>'Income Statement'!F11*Assumptions!E24</f>
        <v>79587.03</v>
      </c>
      <c r="G14" s="28">
        <f>'Income Statement'!G11*Assumptions!F24</f>
        <v>88739.538449999993</v>
      </c>
      <c r="H14" s="28">
        <f>'Income Statement'!H11*Assumptions!G24</f>
        <v>96832.58435664</v>
      </c>
      <c r="I14" s="28">
        <f>'Income Statement'!I11*Assumptions!H24</f>
        <v>103792.42635727351</v>
      </c>
      <c r="J14" s="28">
        <f>'Income Statement'!J11*Assumptions!I24</f>
        <v>109299.7795925574</v>
      </c>
    </row>
    <row r="15" spans="2:10" ht="13.5" customHeight="1" x14ac:dyDescent="0.25">
      <c r="B15" s="9" t="s">
        <v>66</v>
      </c>
      <c r="C15" s="26">
        <v>2500</v>
      </c>
      <c r="D15" s="26">
        <v>1246</v>
      </c>
      <c r="E15" s="26">
        <v>938</v>
      </c>
      <c r="F15" s="28">
        <f>'Income Statement'!F11*Assumptions!E25</f>
        <v>955.04435999999998</v>
      </c>
      <c r="G15" s="28">
        <f>'Income Statement'!G11*Assumptions!F25</f>
        <v>1064.8744614</v>
      </c>
      <c r="H15" s="28">
        <f>'Income Statement'!H11*Assumptions!G25</f>
        <v>1171.3619075400002</v>
      </c>
      <c r="I15" s="28">
        <f>'Income Statement'!I11*Assumptions!H25</f>
        <v>1270.9276696809002</v>
      </c>
      <c r="J15" s="28">
        <f>'Income Statement'!J11*Assumptions!I25</f>
        <v>1366.2472449069676</v>
      </c>
    </row>
    <row r="16" spans="2:10" ht="13.5" customHeight="1" x14ac:dyDescent="0.25">
      <c r="B16" s="9" t="s">
        <v>67</v>
      </c>
      <c r="C16" s="26">
        <v>21807</v>
      </c>
      <c r="D16" s="26">
        <v>26021</v>
      </c>
      <c r="E16" s="26">
        <v>25723</v>
      </c>
      <c r="F16" s="27">
        <f>E16</f>
        <v>25723</v>
      </c>
      <c r="G16" s="28">
        <f>F16</f>
        <v>25723</v>
      </c>
      <c r="H16" s="28">
        <f>G16</f>
        <v>25723</v>
      </c>
      <c r="I16" s="28">
        <f>H16</f>
        <v>25723</v>
      </c>
      <c r="J16" s="28">
        <f>I16</f>
        <v>25723</v>
      </c>
    </row>
    <row r="17" spans="2:10" ht="13.5" customHeight="1" x14ac:dyDescent="0.25">
      <c r="B17" s="9"/>
      <c r="C17" s="26"/>
      <c r="D17" s="26"/>
      <c r="E17" s="26"/>
      <c r="F17" s="28"/>
      <c r="G17" s="28"/>
      <c r="H17" s="28"/>
      <c r="I17" s="28"/>
      <c r="J17" s="28"/>
    </row>
    <row r="18" spans="2:10" ht="13.5" customHeight="1" x14ac:dyDescent="0.25">
      <c r="B18" s="150" t="s">
        <v>68</v>
      </c>
      <c r="C18" s="155">
        <f t="shared" ref="C18:J18" si="1">SUM(C13:C16)</f>
        <v>184257</v>
      </c>
      <c r="D18" s="155">
        <f t="shared" si="1"/>
        <v>159734</v>
      </c>
      <c r="E18" s="155">
        <f t="shared" si="1"/>
        <v>191131</v>
      </c>
      <c r="F18" s="156">
        <f t="shared" si="1"/>
        <v>256162.37206399997</v>
      </c>
      <c r="G18" s="156">
        <f t="shared" si="1"/>
        <v>333032.0958117079</v>
      </c>
      <c r="H18" s="156">
        <f t="shared" si="1"/>
        <v>421282.26068817714</v>
      </c>
      <c r="I18" s="156">
        <f t="shared" si="1"/>
        <v>520353.46499304741</v>
      </c>
      <c r="J18" s="156">
        <f t="shared" si="1"/>
        <v>632410.35982464743</v>
      </c>
    </row>
    <row r="19" spans="2:10" ht="13.5" customHeight="1" x14ac:dyDescent="0.25">
      <c r="B19" s="19"/>
      <c r="C19" s="31"/>
      <c r="D19" s="31"/>
      <c r="E19" s="31"/>
      <c r="F19" s="32"/>
      <c r="G19" s="32"/>
      <c r="H19" s="32"/>
      <c r="I19" s="32"/>
      <c r="J19" s="32"/>
    </row>
    <row r="20" spans="2:10" ht="13.5" customHeight="1" x14ac:dyDescent="0.25">
      <c r="B20" s="7" t="s">
        <v>69</v>
      </c>
      <c r="C20" s="29"/>
      <c r="D20" s="29"/>
      <c r="E20" s="29"/>
      <c r="F20" s="30"/>
      <c r="G20" s="30"/>
      <c r="H20" s="30"/>
      <c r="I20" s="30"/>
      <c r="J20" s="30"/>
    </row>
    <row r="21" spans="2:10" ht="13.5" customHeight="1" x14ac:dyDescent="0.25">
      <c r="B21" s="9" t="s">
        <v>70</v>
      </c>
      <c r="C21" s="26">
        <v>95641</v>
      </c>
      <c r="D21" s="26">
        <v>135591</v>
      </c>
      <c r="E21" s="26">
        <v>204966</v>
      </c>
      <c r="F21" s="28">
        <f>E21-'Cash Flow Statement'!F30-'Cash Flow Statement'!F11</f>
        <v>233617.3308</v>
      </c>
      <c r="G21" s="28">
        <f>F21-'Cash Flow Statement'!G30-'Cash Flow Statement'!G11</f>
        <v>262013.98310399998</v>
      </c>
      <c r="H21" s="28">
        <f>G21-'Cash Flow Statement'!H30-'Cash Flow Statement'!H11</f>
        <v>290126.66888496</v>
      </c>
      <c r="I21" s="28">
        <f>H21-'Cash Flow Statement'!I30-'Cash Flow Statement'!I11</f>
        <v>317239.79250481923</v>
      </c>
      <c r="J21" s="28">
        <f>I21-'Cash Flow Statement'!J30-'Cash Flow Statement'!J11</f>
        <v>342287.65866144694</v>
      </c>
    </row>
    <row r="22" spans="2:10" ht="13.5" customHeight="1" x14ac:dyDescent="0.25">
      <c r="B22" s="9" t="s">
        <v>71</v>
      </c>
      <c r="C22" s="26">
        <v>14346</v>
      </c>
      <c r="D22" s="26">
        <v>18961</v>
      </c>
      <c r="E22" s="26">
        <v>24823</v>
      </c>
      <c r="F22" s="28">
        <f t="shared" ref="F22:J26" si="2">E22</f>
        <v>24823</v>
      </c>
      <c r="G22" s="28">
        <f t="shared" si="2"/>
        <v>24823</v>
      </c>
      <c r="H22" s="28">
        <f t="shared" si="2"/>
        <v>24823</v>
      </c>
      <c r="I22" s="28">
        <f t="shared" si="2"/>
        <v>24823</v>
      </c>
      <c r="J22" s="28">
        <f t="shared" si="2"/>
        <v>24823</v>
      </c>
    </row>
    <row r="23" spans="2:10" ht="13.5" customHeight="1" x14ac:dyDescent="0.25">
      <c r="B23" s="9" t="s">
        <v>72</v>
      </c>
      <c r="C23" s="26">
        <v>9879</v>
      </c>
      <c r="D23" s="26">
        <v>14600</v>
      </c>
      <c r="E23" s="26">
        <v>15405</v>
      </c>
      <c r="F23" s="28">
        <f t="shared" si="2"/>
        <v>15405</v>
      </c>
      <c r="G23" s="28">
        <f t="shared" si="2"/>
        <v>15405</v>
      </c>
      <c r="H23" s="28">
        <f t="shared" si="2"/>
        <v>15405</v>
      </c>
      <c r="I23" s="28">
        <f t="shared" si="2"/>
        <v>15405</v>
      </c>
      <c r="J23" s="28">
        <f t="shared" si="2"/>
        <v>15405</v>
      </c>
    </row>
    <row r="24" spans="2:10" ht="13.5" customHeight="1" x14ac:dyDescent="0.25">
      <c r="B24" s="9" t="s">
        <v>73</v>
      </c>
      <c r="C24" s="26">
        <v>67886</v>
      </c>
      <c r="D24" s="26">
        <v>119220</v>
      </c>
      <c r="E24" s="26">
        <v>119509</v>
      </c>
      <c r="F24" s="28">
        <f t="shared" si="2"/>
        <v>119509</v>
      </c>
      <c r="G24" s="28">
        <f t="shared" si="2"/>
        <v>119509</v>
      </c>
      <c r="H24" s="28">
        <f t="shared" si="2"/>
        <v>119509</v>
      </c>
      <c r="I24" s="28">
        <f t="shared" si="2"/>
        <v>119509</v>
      </c>
      <c r="J24" s="28">
        <f t="shared" si="2"/>
        <v>119509</v>
      </c>
    </row>
    <row r="25" spans="2:10" ht="13.5" customHeight="1" x14ac:dyDescent="0.25">
      <c r="B25" s="9" t="s">
        <v>74</v>
      </c>
      <c r="C25" s="26">
        <v>9366</v>
      </c>
      <c r="D25" s="26">
        <v>27597</v>
      </c>
      <c r="E25" s="26">
        <v>22604</v>
      </c>
      <c r="F25" s="28">
        <f t="shared" si="2"/>
        <v>22604</v>
      </c>
      <c r="G25" s="28">
        <f t="shared" si="2"/>
        <v>22604</v>
      </c>
      <c r="H25" s="28">
        <f t="shared" si="2"/>
        <v>22604</v>
      </c>
      <c r="I25" s="28">
        <f t="shared" si="2"/>
        <v>22604</v>
      </c>
      <c r="J25" s="28">
        <f t="shared" si="2"/>
        <v>22604</v>
      </c>
    </row>
    <row r="26" spans="2:10" ht="13.5" customHeight="1" x14ac:dyDescent="0.25">
      <c r="B26" s="9" t="s">
        <v>75</v>
      </c>
      <c r="C26" s="26">
        <v>30601</v>
      </c>
      <c r="D26" s="26">
        <v>36460</v>
      </c>
      <c r="E26" s="26">
        <v>40565</v>
      </c>
      <c r="F26" s="28">
        <f t="shared" si="2"/>
        <v>40565</v>
      </c>
      <c r="G26" s="28">
        <f t="shared" si="2"/>
        <v>40565</v>
      </c>
      <c r="H26" s="28">
        <f t="shared" si="2"/>
        <v>40565</v>
      </c>
      <c r="I26" s="28">
        <f t="shared" si="2"/>
        <v>40565</v>
      </c>
      <c r="J26" s="28">
        <f t="shared" si="2"/>
        <v>40565</v>
      </c>
    </row>
    <row r="27" spans="2:10" ht="13.5" customHeight="1" x14ac:dyDescent="0.25">
      <c r="B27" s="9"/>
      <c r="C27" s="26"/>
      <c r="D27" s="26"/>
      <c r="E27" s="26"/>
      <c r="F27" s="28"/>
      <c r="G27" s="28"/>
      <c r="H27" s="28"/>
      <c r="I27" s="28"/>
      <c r="J27" s="28"/>
    </row>
    <row r="28" spans="2:10" ht="13.5" customHeight="1" x14ac:dyDescent="0.25">
      <c r="B28" s="157" t="s">
        <v>76</v>
      </c>
      <c r="C28" s="155">
        <f t="shared" ref="C28:J28" si="3">SUM(C21:C26)</f>
        <v>227719</v>
      </c>
      <c r="D28" s="155">
        <f t="shared" si="3"/>
        <v>352429</v>
      </c>
      <c r="E28" s="155">
        <f t="shared" si="3"/>
        <v>427872</v>
      </c>
      <c r="F28" s="156">
        <f t="shared" si="3"/>
        <v>456523.3308</v>
      </c>
      <c r="G28" s="156">
        <f t="shared" si="3"/>
        <v>484919.98310399998</v>
      </c>
      <c r="H28" s="156">
        <f t="shared" si="3"/>
        <v>513032.66888496</v>
      </c>
      <c r="I28" s="156">
        <f t="shared" si="3"/>
        <v>540145.79250481923</v>
      </c>
      <c r="J28" s="156">
        <f t="shared" si="3"/>
        <v>565193.658661447</v>
      </c>
    </row>
    <row r="29" spans="2:10" ht="13.5" customHeight="1" x14ac:dyDescent="0.25">
      <c r="B29" s="21"/>
      <c r="C29" s="34"/>
      <c r="D29" s="34"/>
      <c r="E29" s="34"/>
      <c r="F29" s="32"/>
      <c r="G29" s="32"/>
      <c r="H29" s="32"/>
      <c r="I29" s="32"/>
      <c r="J29" s="32"/>
    </row>
    <row r="30" spans="2:10" ht="13.5" customHeight="1" x14ac:dyDescent="0.25">
      <c r="B30" s="150" t="s">
        <v>77</v>
      </c>
      <c r="C30" s="155">
        <f t="shared" ref="C30:J30" si="4">SUM(C18+C28)</f>
        <v>411976</v>
      </c>
      <c r="D30" s="155">
        <f t="shared" si="4"/>
        <v>512163</v>
      </c>
      <c r="E30" s="155">
        <f t="shared" si="4"/>
        <v>619003</v>
      </c>
      <c r="F30" s="156">
        <f t="shared" si="4"/>
        <v>712685.70286399999</v>
      </c>
      <c r="G30" s="156">
        <f t="shared" si="4"/>
        <v>817952.07891570788</v>
      </c>
      <c r="H30" s="156">
        <f t="shared" si="4"/>
        <v>934314.92957313708</v>
      </c>
      <c r="I30" s="156">
        <f t="shared" si="4"/>
        <v>1060499.2574978666</v>
      </c>
      <c r="J30" s="156">
        <f t="shared" si="4"/>
        <v>1197604.0184860944</v>
      </c>
    </row>
    <row r="31" spans="2:10" ht="13.5" customHeight="1" x14ac:dyDescent="0.25">
      <c r="B31" s="19"/>
      <c r="C31" s="31"/>
      <c r="D31" s="31"/>
      <c r="E31" s="31"/>
      <c r="F31" s="32"/>
      <c r="G31" s="32"/>
      <c r="H31" s="32"/>
      <c r="I31" s="32"/>
      <c r="J31" s="32"/>
    </row>
    <row r="32" spans="2:10" ht="13.5" customHeight="1" x14ac:dyDescent="0.25">
      <c r="B32" s="161" t="s">
        <v>78</v>
      </c>
      <c r="C32" s="227"/>
      <c r="D32" s="227"/>
      <c r="E32" s="227"/>
      <c r="F32" s="227"/>
      <c r="G32" s="227"/>
      <c r="H32" s="227"/>
      <c r="I32" s="227"/>
      <c r="J32" s="227"/>
    </row>
    <row r="33" spans="2:10" ht="13.5" customHeight="1" x14ac:dyDescent="0.25">
      <c r="B33" s="20"/>
      <c r="C33" s="26"/>
      <c r="D33" s="26"/>
      <c r="E33" s="26"/>
      <c r="F33" s="28"/>
      <c r="G33" s="28"/>
      <c r="H33" s="28"/>
      <c r="I33" s="28"/>
      <c r="J33" s="28"/>
    </row>
    <row r="34" spans="2:10" ht="13.5" customHeight="1" x14ac:dyDescent="0.25">
      <c r="B34" s="7" t="s">
        <v>79</v>
      </c>
      <c r="C34" s="29"/>
      <c r="D34" s="29"/>
      <c r="E34" s="29"/>
      <c r="F34" s="30"/>
      <c r="G34" s="30"/>
      <c r="H34" s="30"/>
      <c r="I34" s="30"/>
      <c r="J34" s="30"/>
    </row>
    <row r="35" spans="2:10" ht="13.5" customHeight="1" x14ac:dyDescent="0.25">
      <c r="B35" s="9" t="s">
        <v>80</v>
      </c>
      <c r="C35" s="26">
        <v>18095</v>
      </c>
      <c r="D35" s="26">
        <v>21996</v>
      </c>
      <c r="E35" s="26">
        <v>27724</v>
      </c>
      <c r="F35" s="28">
        <f>'Income Statement'!F11*Assumptions!E26</f>
        <v>31834.812000000002</v>
      </c>
      <c r="G35" s="28">
        <f>'Income Statement'!G11*Assumptions!F26</f>
        <v>35495.81538</v>
      </c>
      <c r="H35" s="28">
        <f>'Income Statement'!H11*Assumptions!G26</f>
        <v>38264.488979640002</v>
      </c>
      <c r="I35" s="28">
        <f>'Income Statement'!I11*Assumptions!H26</f>
        <v>40669.685429788806</v>
      </c>
      <c r="J35" s="28">
        <f>'Income Statement'!J11*Assumptions!I26</f>
        <v>43264.49608872064</v>
      </c>
    </row>
    <row r="36" spans="2:10" ht="13.5" customHeight="1" x14ac:dyDescent="0.25">
      <c r="B36" s="9" t="s">
        <v>81</v>
      </c>
      <c r="C36" s="26">
        <v>0</v>
      </c>
      <c r="D36" s="26">
        <v>6693</v>
      </c>
      <c r="E36" s="26">
        <v>0</v>
      </c>
      <c r="F36" s="28">
        <f t="shared" ref="F36:J41" si="5">E36</f>
        <v>0</v>
      </c>
      <c r="G36" s="28">
        <f t="shared" si="5"/>
        <v>0</v>
      </c>
      <c r="H36" s="28">
        <f t="shared" si="5"/>
        <v>0</v>
      </c>
      <c r="I36" s="28">
        <f t="shared" si="5"/>
        <v>0</v>
      </c>
      <c r="J36" s="28">
        <f t="shared" si="5"/>
        <v>0</v>
      </c>
    </row>
    <row r="37" spans="2:10" ht="13.5" customHeight="1" x14ac:dyDescent="0.25">
      <c r="B37" s="9" t="s">
        <v>82</v>
      </c>
      <c r="C37" s="26">
        <v>5247</v>
      </c>
      <c r="D37" s="26">
        <v>2249</v>
      </c>
      <c r="E37" s="26">
        <v>2999</v>
      </c>
      <c r="F37" s="28">
        <f t="shared" si="5"/>
        <v>2999</v>
      </c>
      <c r="G37" s="28">
        <f t="shared" si="5"/>
        <v>2999</v>
      </c>
      <c r="H37" s="28">
        <f t="shared" si="5"/>
        <v>2999</v>
      </c>
      <c r="I37" s="28">
        <f t="shared" si="5"/>
        <v>2999</v>
      </c>
      <c r="J37" s="28">
        <f t="shared" si="5"/>
        <v>2999</v>
      </c>
    </row>
    <row r="38" spans="2:10" ht="13.5" customHeight="1" x14ac:dyDescent="0.25">
      <c r="B38" s="9" t="s">
        <v>83</v>
      </c>
      <c r="C38" s="26">
        <v>11009</v>
      </c>
      <c r="D38" s="26">
        <v>12564</v>
      </c>
      <c r="E38" s="26">
        <v>13709</v>
      </c>
      <c r="F38" s="28">
        <f t="shared" si="5"/>
        <v>13709</v>
      </c>
      <c r="G38" s="28">
        <f t="shared" si="5"/>
        <v>13709</v>
      </c>
      <c r="H38" s="28">
        <f t="shared" si="5"/>
        <v>13709</v>
      </c>
      <c r="I38" s="28">
        <f t="shared" si="5"/>
        <v>13709</v>
      </c>
      <c r="J38" s="28">
        <f t="shared" si="5"/>
        <v>13709</v>
      </c>
    </row>
    <row r="39" spans="2:10" ht="13.5" customHeight="1" x14ac:dyDescent="0.25">
      <c r="B39" s="9" t="s">
        <v>84</v>
      </c>
      <c r="C39" s="26">
        <v>4152</v>
      </c>
      <c r="D39" s="26">
        <v>5017</v>
      </c>
      <c r="E39" s="26">
        <v>7211</v>
      </c>
      <c r="F39" s="28">
        <f t="shared" si="5"/>
        <v>7211</v>
      </c>
      <c r="G39" s="28">
        <f t="shared" si="5"/>
        <v>7211</v>
      </c>
      <c r="H39" s="28">
        <f t="shared" si="5"/>
        <v>7211</v>
      </c>
      <c r="I39" s="28">
        <f t="shared" si="5"/>
        <v>7211</v>
      </c>
      <c r="J39" s="28">
        <f t="shared" si="5"/>
        <v>7211</v>
      </c>
    </row>
    <row r="40" spans="2:10" ht="13.5" customHeight="1" x14ac:dyDescent="0.25">
      <c r="B40" s="9" t="s">
        <v>85</v>
      </c>
      <c r="C40" s="26">
        <v>50901</v>
      </c>
      <c r="D40" s="26">
        <v>57582</v>
      </c>
      <c r="E40" s="26">
        <v>64555</v>
      </c>
      <c r="F40" s="28">
        <f t="shared" si="5"/>
        <v>64555</v>
      </c>
      <c r="G40" s="28">
        <f t="shared" si="5"/>
        <v>64555</v>
      </c>
      <c r="H40" s="28">
        <f t="shared" si="5"/>
        <v>64555</v>
      </c>
      <c r="I40" s="28">
        <f t="shared" si="5"/>
        <v>64555</v>
      </c>
      <c r="J40" s="28">
        <f t="shared" si="5"/>
        <v>64555</v>
      </c>
    </row>
    <row r="41" spans="2:10" ht="13.5" customHeight="1" x14ac:dyDescent="0.25">
      <c r="B41" s="9" t="s">
        <v>86</v>
      </c>
      <c r="C41" s="26">
        <v>14745</v>
      </c>
      <c r="D41" s="26">
        <v>19185</v>
      </c>
      <c r="E41" s="26">
        <v>25020</v>
      </c>
      <c r="F41" s="28">
        <f t="shared" si="5"/>
        <v>25020</v>
      </c>
      <c r="G41" s="28">
        <f t="shared" si="5"/>
        <v>25020</v>
      </c>
      <c r="H41" s="28">
        <f t="shared" si="5"/>
        <v>25020</v>
      </c>
      <c r="I41" s="28">
        <f t="shared" si="5"/>
        <v>25020</v>
      </c>
      <c r="J41" s="28">
        <f t="shared" si="5"/>
        <v>25020</v>
      </c>
    </row>
    <row r="42" spans="2:10" ht="13.5" customHeight="1" x14ac:dyDescent="0.25">
      <c r="B42" s="13"/>
      <c r="C42" s="26"/>
      <c r="D42" s="26"/>
      <c r="E42" s="26"/>
      <c r="F42" s="28"/>
      <c r="G42" s="28"/>
      <c r="H42" s="28"/>
      <c r="I42" s="28"/>
      <c r="J42" s="28"/>
    </row>
    <row r="43" spans="2:10" ht="13.5" customHeight="1" x14ac:dyDescent="0.25">
      <c r="B43" s="150" t="s">
        <v>87</v>
      </c>
      <c r="C43" s="155">
        <f t="shared" ref="C43:J43" si="6">SUM(C35:C41)</f>
        <v>104149</v>
      </c>
      <c r="D43" s="155">
        <f t="shared" si="6"/>
        <v>125286</v>
      </c>
      <c r="E43" s="155">
        <f t="shared" si="6"/>
        <v>141218</v>
      </c>
      <c r="F43" s="156">
        <f t="shared" si="6"/>
        <v>145328.81200000001</v>
      </c>
      <c r="G43" s="156">
        <f t="shared" si="6"/>
        <v>148989.81537999999</v>
      </c>
      <c r="H43" s="156">
        <f t="shared" si="6"/>
        <v>151758.48897964001</v>
      </c>
      <c r="I43" s="156">
        <f t="shared" si="6"/>
        <v>154163.68542978881</v>
      </c>
      <c r="J43" s="156">
        <f t="shared" si="6"/>
        <v>156758.49608872063</v>
      </c>
    </row>
    <row r="44" spans="2:10" ht="13.5" customHeight="1" x14ac:dyDescent="0.25">
      <c r="B44" s="19"/>
      <c r="C44" s="31"/>
      <c r="D44" s="31"/>
      <c r="E44" s="31"/>
      <c r="F44" s="32"/>
      <c r="G44" s="32"/>
      <c r="H44" s="32"/>
      <c r="I44" s="32"/>
      <c r="J44" s="32"/>
    </row>
    <row r="45" spans="2:10" ht="13.5" customHeight="1" x14ac:dyDescent="0.25">
      <c r="B45" s="7" t="s">
        <v>88</v>
      </c>
      <c r="C45" s="29"/>
      <c r="D45" s="29"/>
      <c r="E45" s="29"/>
      <c r="F45" s="30"/>
      <c r="G45" s="30"/>
      <c r="H45" s="30"/>
      <c r="I45" s="30"/>
      <c r="J45" s="30"/>
    </row>
    <row r="46" spans="2:10" ht="13.5" customHeight="1" x14ac:dyDescent="0.25">
      <c r="B46" s="9" t="s">
        <v>89</v>
      </c>
      <c r="C46" s="26">
        <v>41990</v>
      </c>
      <c r="D46" s="26">
        <v>42688</v>
      </c>
      <c r="E46" s="26">
        <v>40152</v>
      </c>
      <c r="F46" s="28">
        <f t="shared" ref="F46:J51" si="7">E46</f>
        <v>40152</v>
      </c>
      <c r="G46" s="28">
        <f t="shared" si="7"/>
        <v>40152</v>
      </c>
      <c r="H46" s="28">
        <f t="shared" si="7"/>
        <v>40152</v>
      </c>
      <c r="I46" s="28">
        <f t="shared" si="7"/>
        <v>40152</v>
      </c>
      <c r="J46" s="28">
        <f t="shared" si="7"/>
        <v>40152</v>
      </c>
    </row>
    <row r="47" spans="2:10" ht="13.5" customHeight="1" x14ac:dyDescent="0.25">
      <c r="B47" s="9" t="s">
        <v>90</v>
      </c>
      <c r="C47" s="26">
        <v>25560</v>
      </c>
      <c r="D47" s="26">
        <v>27931</v>
      </c>
      <c r="E47" s="26">
        <v>25986</v>
      </c>
      <c r="F47" s="28">
        <f t="shared" si="7"/>
        <v>25986</v>
      </c>
      <c r="G47" s="28">
        <f t="shared" si="7"/>
        <v>25986</v>
      </c>
      <c r="H47" s="28">
        <f t="shared" si="7"/>
        <v>25986</v>
      </c>
      <c r="I47" s="28">
        <f t="shared" si="7"/>
        <v>25986</v>
      </c>
      <c r="J47" s="28">
        <f t="shared" si="7"/>
        <v>25986</v>
      </c>
    </row>
    <row r="48" spans="2:10" ht="13.5" customHeight="1" x14ac:dyDescent="0.25">
      <c r="B48" s="9" t="s">
        <v>91</v>
      </c>
      <c r="C48" s="26">
        <v>2912</v>
      </c>
      <c r="D48" s="26">
        <v>2602</v>
      </c>
      <c r="E48" s="26">
        <v>2710</v>
      </c>
      <c r="F48" s="28">
        <f t="shared" si="7"/>
        <v>2710</v>
      </c>
      <c r="G48" s="28">
        <f t="shared" si="7"/>
        <v>2710</v>
      </c>
      <c r="H48" s="28">
        <f t="shared" si="7"/>
        <v>2710</v>
      </c>
      <c r="I48" s="28">
        <f t="shared" si="7"/>
        <v>2710</v>
      </c>
      <c r="J48" s="28">
        <f t="shared" si="7"/>
        <v>2710</v>
      </c>
    </row>
    <row r="49" spans="2:10" ht="13.5" customHeight="1" x14ac:dyDescent="0.25">
      <c r="B49" s="9" t="s">
        <v>92</v>
      </c>
      <c r="C49" s="26">
        <v>433</v>
      </c>
      <c r="D49" s="26">
        <v>2618</v>
      </c>
      <c r="E49" s="26">
        <v>2835</v>
      </c>
      <c r="F49" s="28">
        <f t="shared" si="7"/>
        <v>2835</v>
      </c>
      <c r="G49" s="28">
        <f t="shared" si="7"/>
        <v>2835</v>
      </c>
      <c r="H49" s="28">
        <f t="shared" si="7"/>
        <v>2835</v>
      </c>
      <c r="I49" s="28">
        <f t="shared" si="7"/>
        <v>2835</v>
      </c>
      <c r="J49" s="28">
        <f t="shared" si="7"/>
        <v>2835</v>
      </c>
    </row>
    <row r="50" spans="2:10" ht="13.5" customHeight="1" x14ac:dyDescent="0.25">
      <c r="B50" s="9" t="s">
        <v>93</v>
      </c>
      <c r="C50" s="26">
        <v>12728</v>
      </c>
      <c r="D50" s="26">
        <v>15497</v>
      </c>
      <c r="E50" s="26">
        <v>17437</v>
      </c>
      <c r="F50" s="28">
        <f t="shared" si="7"/>
        <v>17437</v>
      </c>
      <c r="G50" s="28">
        <f t="shared" si="7"/>
        <v>17437</v>
      </c>
      <c r="H50" s="28">
        <f t="shared" si="7"/>
        <v>17437</v>
      </c>
      <c r="I50" s="28">
        <f t="shared" si="7"/>
        <v>17437</v>
      </c>
      <c r="J50" s="28">
        <f t="shared" si="7"/>
        <v>17437</v>
      </c>
    </row>
    <row r="51" spans="2:10" ht="13.5" customHeight="1" x14ac:dyDescent="0.25">
      <c r="B51" s="9" t="s">
        <v>94</v>
      </c>
      <c r="C51" s="26">
        <v>17981</v>
      </c>
      <c r="D51" s="26">
        <v>27064</v>
      </c>
      <c r="E51" s="26">
        <v>45186</v>
      </c>
      <c r="F51" s="28">
        <f t="shared" si="7"/>
        <v>45186</v>
      </c>
      <c r="G51" s="28">
        <f t="shared" si="7"/>
        <v>45186</v>
      </c>
      <c r="H51" s="28">
        <f t="shared" si="7"/>
        <v>45186</v>
      </c>
      <c r="I51" s="28">
        <f t="shared" si="7"/>
        <v>45186</v>
      </c>
      <c r="J51" s="28">
        <f t="shared" si="7"/>
        <v>45186</v>
      </c>
    </row>
    <row r="52" spans="2:10" ht="13.5" customHeight="1" x14ac:dyDescent="0.25">
      <c r="B52" s="9"/>
      <c r="C52" s="26"/>
      <c r="D52" s="26"/>
      <c r="E52" s="26"/>
      <c r="F52" s="28"/>
      <c r="G52" s="28"/>
      <c r="H52" s="28"/>
      <c r="I52" s="28"/>
      <c r="J52" s="28"/>
    </row>
    <row r="53" spans="2:10" ht="13.5" customHeight="1" x14ac:dyDescent="0.25">
      <c r="B53" s="157" t="s">
        <v>95</v>
      </c>
      <c r="C53" s="155">
        <f t="shared" ref="C53:J53" si="8">SUM(C46:C51)</f>
        <v>101604</v>
      </c>
      <c r="D53" s="155">
        <f t="shared" si="8"/>
        <v>118400</v>
      </c>
      <c r="E53" s="155">
        <f t="shared" si="8"/>
        <v>134306</v>
      </c>
      <c r="F53" s="156">
        <f t="shared" si="8"/>
        <v>134306</v>
      </c>
      <c r="G53" s="156">
        <f t="shared" si="8"/>
        <v>134306</v>
      </c>
      <c r="H53" s="156">
        <f t="shared" si="8"/>
        <v>134306</v>
      </c>
      <c r="I53" s="156">
        <f t="shared" si="8"/>
        <v>134306</v>
      </c>
      <c r="J53" s="156">
        <f t="shared" si="8"/>
        <v>134306</v>
      </c>
    </row>
    <row r="54" spans="2:10" ht="13.5" customHeight="1" x14ac:dyDescent="0.25">
      <c r="B54" s="21"/>
      <c r="C54" s="34"/>
      <c r="D54" s="34"/>
      <c r="E54" s="34"/>
      <c r="F54" s="35"/>
      <c r="G54" s="35"/>
      <c r="H54" s="35"/>
      <c r="I54" s="35"/>
      <c r="J54" s="35"/>
    </row>
    <row r="55" spans="2:10" ht="13.5" customHeight="1" x14ac:dyDescent="0.25">
      <c r="B55" s="150" t="s">
        <v>96</v>
      </c>
      <c r="C55" s="155">
        <f t="shared" ref="C55:J55" si="9">SUM(C43+C53)</f>
        <v>205753</v>
      </c>
      <c r="D55" s="155">
        <f t="shared" si="9"/>
        <v>243686</v>
      </c>
      <c r="E55" s="155">
        <f t="shared" si="9"/>
        <v>275524</v>
      </c>
      <c r="F55" s="156">
        <f t="shared" si="9"/>
        <v>279634.81200000003</v>
      </c>
      <c r="G55" s="156">
        <f t="shared" si="9"/>
        <v>283295.81537999999</v>
      </c>
      <c r="H55" s="156">
        <f t="shared" si="9"/>
        <v>286064.48897964001</v>
      </c>
      <c r="I55" s="156">
        <f t="shared" si="9"/>
        <v>288469.68542978878</v>
      </c>
      <c r="J55" s="156">
        <f t="shared" si="9"/>
        <v>291064.49608872063</v>
      </c>
    </row>
    <row r="56" spans="2:10" ht="13.5" customHeight="1" x14ac:dyDescent="0.25">
      <c r="B56" s="19"/>
      <c r="C56" s="31"/>
      <c r="D56" s="31"/>
      <c r="E56" s="31"/>
      <c r="F56" s="32"/>
      <c r="G56" s="32"/>
      <c r="H56" s="32"/>
      <c r="I56" s="32"/>
      <c r="J56" s="32"/>
    </row>
    <row r="57" spans="2:10" ht="13.5" customHeight="1" x14ac:dyDescent="0.25">
      <c r="B57" s="7" t="s">
        <v>97</v>
      </c>
      <c r="C57" s="29"/>
      <c r="D57" s="29"/>
      <c r="E57" s="29"/>
      <c r="F57" s="30"/>
      <c r="G57" s="30"/>
      <c r="H57" s="30"/>
      <c r="I57" s="30"/>
      <c r="J57" s="30"/>
    </row>
    <row r="58" spans="2:10" ht="13.5" customHeight="1" x14ac:dyDescent="0.25">
      <c r="B58" s="9" t="s">
        <v>98</v>
      </c>
      <c r="C58" s="26">
        <v>93718</v>
      </c>
      <c r="D58" s="26">
        <v>100923</v>
      </c>
      <c r="E58" s="26">
        <v>109095</v>
      </c>
      <c r="F58" s="28">
        <f>E58</f>
        <v>109095</v>
      </c>
      <c r="G58" s="28">
        <f>F58</f>
        <v>109095</v>
      </c>
      <c r="H58" s="28">
        <f>G58</f>
        <v>109095</v>
      </c>
      <c r="I58" s="28">
        <f>H58</f>
        <v>109095</v>
      </c>
      <c r="J58" s="28">
        <f>I58</f>
        <v>109095</v>
      </c>
    </row>
    <row r="59" spans="2:10" ht="13.5" customHeight="1" x14ac:dyDescent="0.25">
      <c r="B59" s="9" t="s">
        <v>99</v>
      </c>
      <c r="C59" s="26">
        <v>118848</v>
      </c>
      <c r="D59" s="26">
        <v>173144</v>
      </c>
      <c r="E59" s="26">
        <v>237731</v>
      </c>
      <c r="F59" s="28">
        <f>(E59+'Income Statement'!F36)-ABS('Cash Flow Statement'!F45)</f>
        <v>327302.89086399996</v>
      </c>
      <c r="G59" s="28">
        <f>(F59+'Income Statement'!G36)-ABS('Cash Flow Statement'!G45)</f>
        <v>428908.2635357079</v>
      </c>
      <c r="H59" s="28">
        <f>(G59+'Income Statement'!H36)-ABS('Cash Flow Statement'!H45)</f>
        <v>542502.44059349701</v>
      </c>
      <c r="I59" s="28">
        <f>(H59+'Income Statement'!I36)-ABS('Cash Flow Statement'!I45)</f>
        <v>666281.57206807774</v>
      </c>
      <c r="J59" s="28">
        <f>(I59+'Income Statement'!J36)-ABS('Cash Flow Statement'!J45)</f>
        <v>800791.52239737357</v>
      </c>
    </row>
    <row r="60" spans="2:10" ht="13.5" customHeight="1" x14ac:dyDescent="0.25">
      <c r="B60" s="9" t="s">
        <v>100</v>
      </c>
      <c r="C60" s="36">
        <v>-6343</v>
      </c>
      <c r="D60" s="36">
        <v>-5590</v>
      </c>
      <c r="E60" s="36">
        <v>-3347</v>
      </c>
      <c r="F60" s="28">
        <f>E60</f>
        <v>-3347</v>
      </c>
      <c r="G60" s="28">
        <f>F60</f>
        <v>-3347</v>
      </c>
      <c r="H60" s="28">
        <f>G60</f>
        <v>-3347</v>
      </c>
      <c r="I60" s="28">
        <f>H60</f>
        <v>-3347</v>
      </c>
      <c r="J60" s="28">
        <f>I60</f>
        <v>-3347</v>
      </c>
    </row>
    <row r="61" spans="2:10" ht="13.5" customHeight="1" x14ac:dyDescent="0.25">
      <c r="B61" s="9"/>
      <c r="C61" s="36"/>
      <c r="D61" s="36"/>
      <c r="E61" s="36"/>
      <c r="F61" s="28"/>
      <c r="G61" s="28"/>
      <c r="H61" s="28"/>
      <c r="I61" s="28"/>
      <c r="J61" s="28"/>
    </row>
    <row r="62" spans="2:10" ht="13.5" customHeight="1" x14ac:dyDescent="0.25">
      <c r="B62" s="157" t="s">
        <v>101</v>
      </c>
      <c r="C62" s="155">
        <f t="shared" ref="C62:J62" si="10">SUM(C58:C60)</f>
        <v>206223</v>
      </c>
      <c r="D62" s="155">
        <f t="shared" si="10"/>
        <v>268477</v>
      </c>
      <c r="E62" s="155">
        <f t="shared" si="10"/>
        <v>343479</v>
      </c>
      <c r="F62" s="156">
        <f t="shared" si="10"/>
        <v>433050.89086399996</v>
      </c>
      <c r="G62" s="156">
        <f t="shared" si="10"/>
        <v>534656.26353570796</v>
      </c>
      <c r="H62" s="156">
        <f t="shared" si="10"/>
        <v>648250.44059349701</v>
      </c>
      <c r="I62" s="156">
        <f t="shared" si="10"/>
        <v>772029.57206807774</v>
      </c>
      <c r="J62" s="156">
        <f t="shared" si="10"/>
        <v>906539.52239737357</v>
      </c>
    </row>
    <row r="63" spans="2:10" ht="13.5" customHeight="1" x14ac:dyDescent="0.25">
      <c r="B63" s="19"/>
      <c r="C63" s="37"/>
      <c r="D63" s="37"/>
      <c r="E63" s="37"/>
      <c r="F63" s="38"/>
      <c r="G63" s="38"/>
      <c r="H63" s="38"/>
      <c r="I63" s="38"/>
      <c r="J63" s="38"/>
    </row>
    <row r="64" spans="2:10" ht="13.5" customHeight="1" x14ac:dyDescent="0.25">
      <c r="B64" s="158" t="s">
        <v>102</v>
      </c>
      <c r="C64" s="159">
        <f t="shared" ref="C64:J64" si="11">SUM(C55+C62)</f>
        <v>411976</v>
      </c>
      <c r="D64" s="159">
        <f t="shared" si="11"/>
        <v>512163</v>
      </c>
      <c r="E64" s="159">
        <f t="shared" si="11"/>
        <v>619003</v>
      </c>
      <c r="F64" s="160">
        <f t="shared" si="11"/>
        <v>712685.70286399999</v>
      </c>
      <c r="G64" s="160">
        <f t="shared" si="11"/>
        <v>817952.078915708</v>
      </c>
      <c r="H64" s="160">
        <f t="shared" si="11"/>
        <v>934314.92957313708</v>
      </c>
      <c r="I64" s="160">
        <f t="shared" si="11"/>
        <v>1060499.2574978666</v>
      </c>
      <c r="J64" s="160">
        <f t="shared" si="11"/>
        <v>1197604.0184860942</v>
      </c>
    </row>
    <row r="65" spans="2:10" ht="13.5" customHeight="1" x14ac:dyDescent="0.25">
      <c r="B65" s="39"/>
      <c r="C65" s="39"/>
      <c r="D65" s="39"/>
      <c r="E65" s="39"/>
      <c r="F65" s="19"/>
      <c r="G65" s="19"/>
      <c r="H65" s="19"/>
      <c r="I65" s="19"/>
      <c r="J65" s="19"/>
    </row>
    <row r="66" spans="2:10" ht="13.5" customHeight="1" x14ac:dyDescent="0.25">
      <c r="B66" s="68" t="s">
        <v>103</v>
      </c>
      <c r="C66" s="64">
        <f t="shared" ref="C66:J66" si="12">C30-C64</f>
        <v>0</v>
      </c>
      <c r="D66" s="52">
        <f t="shared" si="12"/>
        <v>0</v>
      </c>
      <c r="E66" s="52">
        <f t="shared" si="12"/>
        <v>0</v>
      </c>
      <c r="F66" s="52">
        <f t="shared" si="12"/>
        <v>0</v>
      </c>
      <c r="G66" s="52">
        <f t="shared" si="12"/>
        <v>0</v>
      </c>
      <c r="H66" s="52">
        <f t="shared" si="12"/>
        <v>0</v>
      </c>
      <c r="I66" s="52">
        <f t="shared" si="12"/>
        <v>0</v>
      </c>
      <c r="J66" s="52">
        <f t="shared" si="12"/>
        <v>0</v>
      </c>
    </row>
  </sheetData>
  <mergeCells count="6">
    <mergeCell ref="C32:E32"/>
    <mergeCell ref="F32:J32"/>
    <mergeCell ref="C4:E4"/>
    <mergeCell ref="F4:J4"/>
    <mergeCell ref="C7:E7"/>
    <mergeCell ref="F7:J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J57"/>
  <sheetViews>
    <sheetView showGridLines="0" workbookViewId="0"/>
  </sheetViews>
  <sheetFormatPr defaultColWidth="8.88671875" defaultRowHeight="13.8" x14ac:dyDescent="0.25"/>
  <cols>
    <col min="1" max="1" width="2.77734375" style="1" customWidth="1"/>
    <col min="2" max="2" width="46.21875" style="1" customWidth="1"/>
    <col min="3" max="10" width="9.5546875" style="1" customWidth="1"/>
    <col min="11" max="16384" width="8.88671875" style="1"/>
  </cols>
  <sheetData>
    <row r="2" spans="2:10" ht="19.2" x14ac:dyDescent="0.35">
      <c r="B2" s="2" t="s">
        <v>104</v>
      </c>
    </row>
    <row r="4" spans="2:10" x14ac:dyDescent="0.25">
      <c r="B4" s="16" t="s">
        <v>58</v>
      </c>
      <c r="C4" s="227" t="s">
        <v>2</v>
      </c>
      <c r="D4" s="227"/>
      <c r="E4" s="227"/>
      <c r="F4" s="227" t="s">
        <v>3</v>
      </c>
      <c r="G4" s="227"/>
      <c r="H4" s="227"/>
      <c r="I4" s="227"/>
      <c r="J4" s="227"/>
    </row>
    <row r="5" spans="2:10" x14ac:dyDescent="0.25">
      <c r="B5" s="4"/>
      <c r="C5" s="121" t="s">
        <v>32</v>
      </c>
      <c r="D5" s="121" t="s">
        <v>4</v>
      </c>
      <c r="E5" s="121" t="s">
        <v>5</v>
      </c>
      <c r="F5" s="123" t="s">
        <v>6</v>
      </c>
      <c r="G5" s="123" t="s">
        <v>7</v>
      </c>
      <c r="H5" s="123" t="s">
        <v>8</v>
      </c>
      <c r="I5" s="123" t="s">
        <v>9</v>
      </c>
      <c r="J5" s="123" t="s">
        <v>10</v>
      </c>
    </row>
    <row r="6" spans="2:10" x14ac:dyDescent="0.25">
      <c r="B6" s="20" t="s">
        <v>51</v>
      </c>
      <c r="C6" s="25">
        <f>'Income Statement'!C36</f>
        <v>72361</v>
      </c>
      <c r="D6" s="25">
        <f>'Income Statement'!D36</f>
        <v>88136</v>
      </c>
      <c r="E6" s="25">
        <f>'Income Statement'!E36</f>
        <v>101832</v>
      </c>
      <c r="F6" s="40">
        <f>'Income Statement'!F36</f>
        <v>116062.09086399997</v>
      </c>
      <c r="G6" s="40">
        <f>'Income Statement'!G36</f>
        <v>130744.59267170797</v>
      </c>
      <c r="H6" s="40">
        <f>'Income Statement'!H36</f>
        <v>145501.62295778919</v>
      </c>
      <c r="I6" s="40">
        <f>'Income Statement'!I36</f>
        <v>158558.24750558077</v>
      </c>
      <c r="J6" s="40">
        <f>'Income Statement'!J36</f>
        <v>172245.29122293091</v>
      </c>
    </row>
    <row r="7" spans="2:10" x14ac:dyDescent="0.25">
      <c r="B7" s="20"/>
      <c r="C7" s="25"/>
      <c r="D7" s="25"/>
      <c r="E7" s="25"/>
      <c r="F7" s="41"/>
      <c r="G7" s="41"/>
      <c r="H7" s="41"/>
      <c r="I7" s="41"/>
      <c r="J7" s="41"/>
    </row>
    <row r="8" spans="2:10" x14ac:dyDescent="0.25">
      <c r="B8" s="7" t="s">
        <v>105</v>
      </c>
      <c r="C8" s="42"/>
      <c r="D8" s="42"/>
      <c r="E8" s="42"/>
      <c r="F8" s="43"/>
      <c r="G8" s="43"/>
      <c r="H8" s="43"/>
      <c r="I8" s="43"/>
      <c r="J8" s="43"/>
    </row>
    <row r="10" spans="2:10" x14ac:dyDescent="0.25">
      <c r="B10" s="20" t="s">
        <v>106</v>
      </c>
      <c r="C10" s="44"/>
      <c r="D10" s="44"/>
      <c r="E10" s="44"/>
      <c r="F10" s="41"/>
      <c r="G10" s="41"/>
      <c r="H10" s="41"/>
      <c r="I10" s="41"/>
      <c r="J10" s="41"/>
    </row>
    <row r="11" spans="2:10" x14ac:dyDescent="0.25">
      <c r="B11" s="9" t="s">
        <v>107</v>
      </c>
      <c r="C11" s="36">
        <v>13861</v>
      </c>
      <c r="D11" s="36">
        <v>22287</v>
      </c>
      <c r="E11" s="36">
        <v>34153</v>
      </c>
      <c r="F11" s="28">
        <f>'Income Statement'!F11*Assumptions!E20</f>
        <v>38201.774399999995</v>
      </c>
      <c r="G11" s="28">
        <f>'Income Statement'!G11*Assumptions!F20</f>
        <v>42594.978455999997</v>
      </c>
      <c r="H11" s="28">
        <f>'Income Statement'!H11*Assumptions!G20</f>
        <v>46073.568363239996</v>
      </c>
      <c r="I11" s="28">
        <f>'Income Statement'!I11*Assumptions!H20</f>
        <v>49142.536560994806</v>
      </c>
      <c r="J11" s="28">
        <f>'Income Statement'!J11*Assumptions!I20</f>
        <v>52372.811054767095</v>
      </c>
    </row>
    <row r="12" spans="2:10" x14ac:dyDescent="0.25">
      <c r="B12" s="9" t="s">
        <v>108</v>
      </c>
      <c r="C12" s="36">
        <v>9611</v>
      </c>
      <c r="D12" s="36">
        <v>10734</v>
      </c>
      <c r="E12" s="36">
        <v>11974</v>
      </c>
      <c r="F12" s="28">
        <v>0</v>
      </c>
      <c r="G12" s="28">
        <f t="shared" ref="G12:J14" si="0">F12</f>
        <v>0</v>
      </c>
      <c r="H12" s="28">
        <f t="shared" si="0"/>
        <v>0</v>
      </c>
      <c r="I12" s="28">
        <f t="shared" si="0"/>
        <v>0</v>
      </c>
      <c r="J12" s="28">
        <f t="shared" si="0"/>
        <v>0</v>
      </c>
    </row>
    <row r="13" spans="2:10" x14ac:dyDescent="0.25">
      <c r="B13" s="9" t="s">
        <v>109</v>
      </c>
      <c r="C13" s="36">
        <v>196</v>
      </c>
      <c r="D13" s="36">
        <v>305</v>
      </c>
      <c r="E13" s="36">
        <v>609</v>
      </c>
      <c r="F13" s="28">
        <v>0</v>
      </c>
      <c r="G13" s="28">
        <f t="shared" si="0"/>
        <v>0</v>
      </c>
      <c r="H13" s="28">
        <f t="shared" si="0"/>
        <v>0</v>
      </c>
      <c r="I13" s="28">
        <f t="shared" si="0"/>
        <v>0</v>
      </c>
      <c r="J13" s="28">
        <f t="shared" si="0"/>
        <v>0</v>
      </c>
    </row>
    <row r="14" spans="2:10" x14ac:dyDescent="0.25">
      <c r="B14" s="9" t="s">
        <v>92</v>
      </c>
      <c r="C14" s="36">
        <v>-6059</v>
      </c>
      <c r="D14" s="36">
        <v>-4738</v>
      </c>
      <c r="E14" s="36">
        <v>-7056</v>
      </c>
      <c r="F14" s="28">
        <v>0</v>
      </c>
      <c r="G14" s="28">
        <f t="shared" si="0"/>
        <v>0</v>
      </c>
      <c r="H14" s="28">
        <f t="shared" si="0"/>
        <v>0</v>
      </c>
      <c r="I14" s="28">
        <f t="shared" si="0"/>
        <v>0</v>
      </c>
      <c r="J14" s="28">
        <f t="shared" si="0"/>
        <v>0</v>
      </c>
    </row>
    <row r="15" spans="2:10" x14ac:dyDescent="0.25">
      <c r="B15" s="13"/>
      <c r="C15" s="36"/>
      <c r="D15" s="36"/>
      <c r="E15" s="36"/>
      <c r="F15" s="28"/>
      <c r="G15" s="28"/>
      <c r="H15" s="28"/>
      <c r="I15" s="28"/>
      <c r="J15" s="28"/>
    </row>
    <row r="16" spans="2:10" x14ac:dyDescent="0.25">
      <c r="B16" s="20" t="s">
        <v>110</v>
      </c>
      <c r="C16" s="36"/>
      <c r="D16" s="36"/>
      <c r="E16" s="36"/>
      <c r="F16" s="28"/>
      <c r="G16" s="28"/>
      <c r="H16" s="28"/>
      <c r="I16" s="28"/>
      <c r="J16" s="28"/>
    </row>
    <row r="17" spans="2:10" x14ac:dyDescent="0.25">
      <c r="B17" s="9" t="s">
        <v>111</v>
      </c>
      <c r="C17" s="36">
        <v>-4087</v>
      </c>
      <c r="D17" s="36">
        <v>-7191</v>
      </c>
      <c r="E17" s="36">
        <v>-10581</v>
      </c>
      <c r="F17" s="28">
        <f>-('Balance Sheet'!F14-'Balance Sheet'!E14)</f>
        <v>-9682.0299999999988</v>
      </c>
      <c r="G17" s="28">
        <f>-('Balance Sheet'!G14-'Balance Sheet'!F14)</f>
        <v>-9152.5084499999939</v>
      </c>
      <c r="H17" s="28">
        <f>-('Balance Sheet'!H14-'Balance Sheet'!G14)</f>
        <v>-8093.0459066400072</v>
      </c>
      <c r="I17" s="28">
        <f>-('Balance Sheet'!I14-'Balance Sheet'!H14)</f>
        <v>-6959.8420006335073</v>
      </c>
      <c r="J17" s="28">
        <f>-('Balance Sheet'!J14-'Balance Sheet'!I14)</f>
        <v>-5507.3532352838956</v>
      </c>
    </row>
    <row r="18" spans="2:10" x14ac:dyDescent="0.25">
      <c r="B18" s="9" t="s">
        <v>112</v>
      </c>
      <c r="C18" s="36">
        <v>1242</v>
      </c>
      <c r="D18" s="36">
        <v>1284</v>
      </c>
      <c r="E18" s="36">
        <v>309</v>
      </c>
      <c r="F18" s="28">
        <f>-('Balance Sheet'!F15-'Balance Sheet'!E15)</f>
        <v>-17.044359999999983</v>
      </c>
      <c r="G18" s="28">
        <f>-('Balance Sheet'!G15-'Balance Sheet'!F15)</f>
        <v>-109.83010139999999</v>
      </c>
      <c r="H18" s="28">
        <f>-('Balance Sheet'!H15-'Balance Sheet'!G15)</f>
        <v>-106.4874461400002</v>
      </c>
      <c r="I18" s="28">
        <f>-('Balance Sheet'!I15-'Balance Sheet'!H15)</f>
        <v>-99.565762140900006</v>
      </c>
      <c r="J18" s="28">
        <f>-('Balance Sheet'!J15-'Balance Sheet'!I15)</f>
        <v>-95.3195752260674</v>
      </c>
    </row>
    <row r="19" spans="2:10" x14ac:dyDescent="0.25">
      <c r="B19" s="9" t="s">
        <v>113</v>
      </c>
      <c r="C19" s="36">
        <v>-1991</v>
      </c>
      <c r="D19" s="36">
        <v>-1648</v>
      </c>
      <c r="E19" s="36">
        <v>-3044</v>
      </c>
      <c r="F19" s="28">
        <f>-('Balance Sheet'!F16-'Balance Sheet'!E16)</f>
        <v>0</v>
      </c>
      <c r="G19" s="28">
        <f>-('Balance Sheet'!G16-'Balance Sheet'!F16)</f>
        <v>0</v>
      </c>
      <c r="H19" s="28">
        <f>-('Balance Sheet'!H16-'Balance Sheet'!G16)</f>
        <v>0</v>
      </c>
      <c r="I19" s="28">
        <f>-('Balance Sheet'!I16-'Balance Sheet'!H16)</f>
        <v>0</v>
      </c>
      <c r="J19" s="28">
        <f>-('Balance Sheet'!J16-'Balance Sheet'!I16)</f>
        <v>0</v>
      </c>
    </row>
    <row r="20" spans="2:10" x14ac:dyDescent="0.25">
      <c r="B20" s="9" t="s">
        <v>75</v>
      </c>
      <c r="C20" s="36">
        <v>-2833</v>
      </c>
      <c r="D20" s="36">
        <v>-6817</v>
      </c>
      <c r="E20" s="36">
        <v>-2950</v>
      </c>
      <c r="F20" s="28">
        <f>-('Balance Sheet'!F26-'Balance Sheet'!E26)</f>
        <v>0</v>
      </c>
      <c r="G20" s="28">
        <f>-('Balance Sheet'!G26-'Balance Sheet'!F26)</f>
        <v>0</v>
      </c>
      <c r="H20" s="28">
        <f>-('Balance Sheet'!H26-'Balance Sheet'!G26)</f>
        <v>0</v>
      </c>
      <c r="I20" s="28">
        <f>-('Balance Sheet'!I26-'Balance Sheet'!H26)</f>
        <v>0</v>
      </c>
      <c r="J20" s="28">
        <f>-('Balance Sheet'!J26-'Balance Sheet'!I26)</f>
        <v>0</v>
      </c>
    </row>
    <row r="21" spans="2:10" x14ac:dyDescent="0.25">
      <c r="B21" s="9" t="s">
        <v>80</v>
      </c>
      <c r="C21" s="36">
        <v>-2721</v>
      </c>
      <c r="D21" s="36">
        <v>3545</v>
      </c>
      <c r="E21" s="36">
        <v>569</v>
      </c>
      <c r="F21" s="28">
        <f>'Balance Sheet'!F35-'Balance Sheet'!E35</f>
        <v>4110.8120000000017</v>
      </c>
      <c r="G21" s="28">
        <f>'Balance Sheet'!G35-'Balance Sheet'!F35</f>
        <v>3661.0033799999983</v>
      </c>
      <c r="H21" s="28">
        <f>'Balance Sheet'!H35-'Balance Sheet'!G35</f>
        <v>2768.6735996400021</v>
      </c>
      <c r="I21" s="28">
        <f>'Balance Sheet'!I35-'Balance Sheet'!H35</f>
        <v>2405.1964501488037</v>
      </c>
      <c r="J21" s="28">
        <f>'Balance Sheet'!J35-'Balance Sheet'!I35</f>
        <v>2594.810658931834</v>
      </c>
    </row>
    <row r="22" spans="2:10" x14ac:dyDescent="0.25">
      <c r="B22" s="9" t="s">
        <v>114</v>
      </c>
      <c r="C22" s="36">
        <v>5535</v>
      </c>
      <c r="D22" s="36">
        <v>5348</v>
      </c>
      <c r="E22" s="36">
        <v>5438</v>
      </c>
      <c r="F22" s="28">
        <f>('Balance Sheet'!F40+'Balance Sheet'!F48)-('Balance Sheet'!E40+'Balance Sheet'!E48)</f>
        <v>0</v>
      </c>
      <c r="G22" s="28">
        <f>('Balance Sheet'!G40+'Balance Sheet'!G48)-('Balance Sheet'!F40+'Balance Sheet'!F48)</f>
        <v>0</v>
      </c>
      <c r="H22" s="28">
        <f>('Balance Sheet'!H40+'Balance Sheet'!H48)-('Balance Sheet'!G40+'Balance Sheet'!G48)</f>
        <v>0</v>
      </c>
      <c r="I22" s="28">
        <f>('Balance Sheet'!I40+'Balance Sheet'!I48)-('Balance Sheet'!H40+'Balance Sheet'!H48)</f>
        <v>0</v>
      </c>
      <c r="J22" s="28">
        <f>('Balance Sheet'!J40+'Balance Sheet'!J48)-('Balance Sheet'!I40+'Balance Sheet'!I48)</f>
        <v>0</v>
      </c>
    </row>
    <row r="23" spans="2:10" x14ac:dyDescent="0.25">
      <c r="B23" s="9" t="s">
        <v>115</v>
      </c>
      <c r="C23" s="36">
        <v>-358</v>
      </c>
      <c r="D23" s="36">
        <v>1687</v>
      </c>
      <c r="E23" s="36">
        <v>-38</v>
      </c>
      <c r="F23" s="28">
        <f>('Balance Sheet'!F39+'Balance Sheet'!F47)-('Balance Sheet'!E39+'Balance Sheet'!E47)</f>
        <v>0</v>
      </c>
      <c r="G23" s="28">
        <f>('Balance Sheet'!G39+'Balance Sheet'!G47)-('Balance Sheet'!F39+'Balance Sheet'!F47)</f>
        <v>0</v>
      </c>
      <c r="H23" s="28">
        <f>('Balance Sheet'!H39+'Balance Sheet'!H47)-('Balance Sheet'!G39+'Balance Sheet'!G47)</f>
        <v>0</v>
      </c>
      <c r="I23" s="28">
        <f>('Balance Sheet'!I39+'Balance Sheet'!I47)-('Balance Sheet'!H39+'Balance Sheet'!H47)</f>
        <v>0</v>
      </c>
      <c r="J23" s="28">
        <f>('Balance Sheet'!J39+'Balance Sheet'!J47)-('Balance Sheet'!I39+'Balance Sheet'!I47)</f>
        <v>0</v>
      </c>
    </row>
    <row r="24" spans="2:10" x14ac:dyDescent="0.25">
      <c r="B24" s="9" t="s">
        <v>116</v>
      </c>
      <c r="C24" s="36">
        <v>2272</v>
      </c>
      <c r="D24" s="36">
        <v>4867</v>
      </c>
      <c r="E24" s="36">
        <v>5922</v>
      </c>
      <c r="F24" s="28">
        <f>'Balance Sheet'!F41-'Balance Sheet'!E41</f>
        <v>0</v>
      </c>
      <c r="G24" s="28">
        <f>'Balance Sheet'!G41-'Balance Sheet'!F41</f>
        <v>0</v>
      </c>
      <c r="H24" s="28">
        <f>'Balance Sheet'!H41-'Balance Sheet'!G41</f>
        <v>0</v>
      </c>
      <c r="I24" s="28">
        <f>'Balance Sheet'!I41-'Balance Sheet'!H41</f>
        <v>0</v>
      </c>
      <c r="J24" s="28">
        <f>'Balance Sheet'!J41-'Balance Sheet'!I41</f>
        <v>0</v>
      </c>
    </row>
    <row r="25" spans="2:10" x14ac:dyDescent="0.25">
      <c r="B25" s="9" t="s">
        <v>117</v>
      </c>
      <c r="C25" s="36">
        <v>553</v>
      </c>
      <c r="D25" s="36">
        <v>749</v>
      </c>
      <c r="E25" s="36">
        <v>-975</v>
      </c>
      <c r="F25" s="28">
        <f>'Balance Sheet'!F51-'Balance Sheet'!E51</f>
        <v>0</v>
      </c>
      <c r="G25" s="28">
        <f>'Balance Sheet'!G51-'Balance Sheet'!F51</f>
        <v>0</v>
      </c>
      <c r="H25" s="28">
        <f>'Balance Sheet'!H51-'Balance Sheet'!G51</f>
        <v>0</v>
      </c>
      <c r="I25" s="28">
        <f>'Balance Sheet'!I51-'Balance Sheet'!H51</f>
        <v>0</v>
      </c>
      <c r="J25" s="28">
        <f>'Balance Sheet'!J51-'Balance Sheet'!I51</f>
        <v>0</v>
      </c>
    </row>
    <row r="26" spans="2:10" x14ac:dyDescent="0.25">
      <c r="B26" s="13"/>
      <c r="C26" s="36"/>
      <c r="D26" s="36"/>
      <c r="E26" s="36"/>
      <c r="F26" s="28"/>
      <c r="G26" s="28"/>
      <c r="H26" s="28"/>
      <c r="I26" s="28"/>
      <c r="J26" s="28"/>
    </row>
    <row r="27" spans="2:10" x14ac:dyDescent="0.25">
      <c r="B27" s="150" t="s">
        <v>118</v>
      </c>
      <c r="C27" s="151">
        <f>SUM(C6:C25)</f>
        <v>87582</v>
      </c>
      <c r="D27" s="151">
        <f>SUM(D6:D25)</f>
        <v>118548</v>
      </c>
      <c r="E27" s="151">
        <f>SUM(E6:E25)</f>
        <v>136162</v>
      </c>
      <c r="F27" s="152">
        <f>F6+SUM(F11:F25)</f>
        <v>148675.60290399997</v>
      </c>
      <c r="G27" s="152">
        <f>G6+SUM(G11:G25)</f>
        <v>167738.23595630797</v>
      </c>
      <c r="H27" s="152">
        <f>H6+SUM(H11:H25)</f>
        <v>186144.3315678892</v>
      </c>
      <c r="I27" s="152">
        <f>I6+SUM(I11:I25)</f>
        <v>203046.57275394996</v>
      </c>
      <c r="J27" s="152">
        <f>J6+SUM(J11:J25)</f>
        <v>221610.24012611987</v>
      </c>
    </row>
    <row r="28" spans="2:10" x14ac:dyDescent="0.25">
      <c r="B28" s="19"/>
      <c r="C28" s="47"/>
      <c r="D28" s="47"/>
      <c r="E28" s="47"/>
      <c r="F28" s="32"/>
      <c r="G28" s="32"/>
      <c r="H28" s="32"/>
      <c r="I28" s="32"/>
      <c r="J28" s="32"/>
    </row>
    <row r="29" spans="2:10" x14ac:dyDescent="0.25">
      <c r="B29" s="7" t="s">
        <v>119</v>
      </c>
      <c r="C29" s="48"/>
      <c r="D29" s="48"/>
      <c r="E29" s="48"/>
      <c r="F29" s="30"/>
      <c r="G29" s="30"/>
      <c r="H29" s="30"/>
      <c r="I29" s="30"/>
      <c r="J29" s="30"/>
    </row>
    <row r="30" spans="2:10" x14ac:dyDescent="0.25">
      <c r="B30" s="9" t="s">
        <v>120</v>
      </c>
      <c r="C30" s="36">
        <v>-28107</v>
      </c>
      <c r="D30" s="36">
        <v>-44477</v>
      </c>
      <c r="E30" s="36">
        <v>-64551</v>
      </c>
      <c r="F30" s="28">
        <f>-'Income Statement'!F11*Assumptions!E19</f>
        <v>-66853.105199999991</v>
      </c>
      <c r="G30" s="28">
        <f>-'Income Statement'!G11*Assumptions!F19</f>
        <v>-70991.63076</v>
      </c>
      <c r="H30" s="28">
        <f>-'Income Statement'!H11*Assumptions!G19</f>
        <v>-74186.254144200007</v>
      </c>
      <c r="I30" s="28">
        <f>-'Income Statement'!I11*Assumptions!H19</f>
        <v>-76255.660180854014</v>
      </c>
      <c r="J30" s="28">
        <f>-'Income Statement'!J11*Assumptions!I19</f>
        <v>-77420.677211394839</v>
      </c>
    </row>
    <row r="31" spans="2:10" x14ac:dyDescent="0.25">
      <c r="B31" s="9" t="s">
        <v>121</v>
      </c>
      <c r="C31" s="36">
        <v>-1670</v>
      </c>
      <c r="D31" s="36">
        <v>-69132</v>
      </c>
      <c r="E31" s="36">
        <v>-5978</v>
      </c>
      <c r="F31" s="28">
        <v>0</v>
      </c>
      <c r="G31" s="28">
        <v>0</v>
      </c>
      <c r="H31" s="28">
        <v>0</v>
      </c>
      <c r="I31" s="28">
        <v>0</v>
      </c>
      <c r="J31" s="28">
        <v>0</v>
      </c>
    </row>
    <row r="32" spans="2:10" x14ac:dyDescent="0.25">
      <c r="B32" s="9" t="s">
        <v>122</v>
      </c>
      <c r="C32" s="36">
        <v>-37651</v>
      </c>
      <c r="D32" s="36">
        <v>-17732</v>
      </c>
      <c r="E32" s="36">
        <v>-29775</v>
      </c>
      <c r="F32" s="28">
        <f>-'Income Statement'!F11*Assumptions!E21</f>
        <v>-31834.812000000002</v>
      </c>
      <c r="G32" s="28">
        <f>-'Income Statement'!G11*Assumptions!F21</f>
        <v>-33721.024611000001</v>
      </c>
      <c r="H32" s="28">
        <f>-'Income Statement'!H11*Assumptions!G21</f>
        <v>-35140.857226200002</v>
      </c>
      <c r="I32" s="28">
        <f>-'Income Statement'!I11*Assumptions!H21</f>
        <v>-36009.617307625507</v>
      </c>
      <c r="J32" s="28">
        <f>-'Income Statement'!J11*Assumptions!I21</f>
        <v>-36433.259864185806</v>
      </c>
    </row>
    <row r="33" spans="2:10" x14ac:dyDescent="0.25">
      <c r="B33" s="9" t="s">
        <v>123</v>
      </c>
      <c r="C33" s="36">
        <v>33510</v>
      </c>
      <c r="D33" s="36">
        <v>24775</v>
      </c>
      <c r="E33" s="36">
        <v>16079</v>
      </c>
      <c r="F33" s="28">
        <v>0</v>
      </c>
      <c r="G33" s="28">
        <v>0</v>
      </c>
      <c r="H33" s="28">
        <v>0</v>
      </c>
      <c r="I33" s="28">
        <v>0</v>
      </c>
      <c r="J33" s="28">
        <v>0</v>
      </c>
    </row>
    <row r="34" spans="2:10" x14ac:dyDescent="0.25">
      <c r="B34" s="9" t="s">
        <v>124</v>
      </c>
      <c r="C34" s="36">
        <v>14354</v>
      </c>
      <c r="D34" s="36">
        <v>10894</v>
      </c>
      <c r="E34" s="36">
        <v>9309</v>
      </c>
      <c r="F34" s="28">
        <v>0</v>
      </c>
      <c r="G34" s="28">
        <v>0</v>
      </c>
      <c r="H34" s="28">
        <v>0</v>
      </c>
      <c r="I34" s="28">
        <v>0</v>
      </c>
      <c r="J34" s="28">
        <v>0</v>
      </c>
    </row>
    <row r="35" spans="2:10" x14ac:dyDescent="0.25">
      <c r="B35" s="9" t="s">
        <v>125</v>
      </c>
      <c r="C35" s="36">
        <v>-3116</v>
      </c>
      <c r="D35" s="36">
        <v>-1298</v>
      </c>
      <c r="E35" s="36">
        <v>2317</v>
      </c>
      <c r="F35" s="28">
        <v>0</v>
      </c>
      <c r="G35" s="28">
        <v>0</v>
      </c>
      <c r="H35" s="28">
        <v>0</v>
      </c>
      <c r="I35" s="28">
        <v>0</v>
      </c>
      <c r="J35" s="28">
        <v>0</v>
      </c>
    </row>
    <row r="36" spans="2:10" x14ac:dyDescent="0.25">
      <c r="B36" s="13"/>
      <c r="C36" s="36"/>
      <c r="D36" s="36"/>
      <c r="E36" s="36"/>
      <c r="F36" s="28"/>
      <c r="G36" s="28"/>
      <c r="H36" s="28"/>
      <c r="I36" s="28"/>
      <c r="J36" s="28"/>
    </row>
    <row r="37" spans="2:10" x14ac:dyDescent="0.25">
      <c r="B37" s="150" t="s">
        <v>126</v>
      </c>
      <c r="C37" s="151">
        <f t="shared" ref="C37:J37" si="1">SUM(C30:C35)</f>
        <v>-22680</v>
      </c>
      <c r="D37" s="151">
        <f t="shared" si="1"/>
        <v>-96970</v>
      </c>
      <c r="E37" s="151">
        <f t="shared" si="1"/>
        <v>-72599</v>
      </c>
      <c r="F37" s="152">
        <f t="shared" si="1"/>
        <v>-98687.917199999996</v>
      </c>
      <c r="G37" s="152">
        <f t="shared" si="1"/>
        <v>-104712.655371</v>
      </c>
      <c r="H37" s="152">
        <f t="shared" si="1"/>
        <v>-109327.1113704</v>
      </c>
      <c r="I37" s="152">
        <f t="shared" si="1"/>
        <v>-112265.27748847952</v>
      </c>
      <c r="J37" s="152">
        <f t="shared" si="1"/>
        <v>-113853.93707558064</v>
      </c>
    </row>
    <row r="38" spans="2:10" x14ac:dyDescent="0.25">
      <c r="B38" s="19"/>
      <c r="C38" s="47"/>
      <c r="D38" s="47"/>
      <c r="E38" s="47"/>
      <c r="F38" s="32"/>
      <c r="G38" s="32"/>
      <c r="H38" s="32"/>
      <c r="I38" s="32"/>
      <c r="J38" s="32"/>
    </row>
    <row r="39" spans="2:10" x14ac:dyDescent="0.25">
      <c r="B39" s="7" t="s">
        <v>127</v>
      </c>
      <c r="C39" s="48"/>
      <c r="D39" s="48"/>
      <c r="E39" s="48"/>
      <c r="F39" s="30"/>
      <c r="G39" s="30"/>
      <c r="H39" s="30"/>
      <c r="I39" s="30"/>
      <c r="J39" s="30"/>
    </row>
    <row r="40" spans="2:10" x14ac:dyDescent="0.25">
      <c r="B40" s="9" t="s">
        <v>128</v>
      </c>
      <c r="C40" s="36">
        <v>0</v>
      </c>
      <c r="D40" s="36">
        <v>5250</v>
      </c>
      <c r="E40" s="36">
        <v>-5746</v>
      </c>
      <c r="F40" s="28">
        <v>0</v>
      </c>
      <c r="G40" s="28">
        <v>0</v>
      </c>
      <c r="H40" s="28">
        <v>0</v>
      </c>
      <c r="I40" s="28">
        <v>0</v>
      </c>
      <c r="J40" s="28">
        <v>0</v>
      </c>
    </row>
    <row r="41" spans="2:10" x14ac:dyDescent="0.25">
      <c r="B41" s="9" t="s">
        <v>129</v>
      </c>
      <c r="C41" s="36">
        <v>0</v>
      </c>
      <c r="D41" s="36">
        <v>24395</v>
      </c>
      <c r="E41" s="36">
        <v>0</v>
      </c>
      <c r="F41" s="28">
        <v>0</v>
      </c>
      <c r="G41" s="28">
        <v>0</v>
      </c>
      <c r="H41" s="28">
        <v>0</v>
      </c>
      <c r="I41" s="28">
        <v>0</v>
      </c>
      <c r="J41" s="28">
        <v>0</v>
      </c>
    </row>
    <row r="42" spans="2:10" x14ac:dyDescent="0.25">
      <c r="B42" s="9" t="s">
        <v>130</v>
      </c>
      <c r="C42" s="36">
        <v>-2750</v>
      </c>
      <c r="D42" s="36">
        <v>-29070</v>
      </c>
      <c r="E42" s="36">
        <v>-3216</v>
      </c>
      <c r="F42" s="28">
        <v>0</v>
      </c>
      <c r="G42" s="28">
        <v>0</v>
      </c>
      <c r="H42" s="28">
        <v>0</v>
      </c>
      <c r="I42" s="28">
        <v>0</v>
      </c>
      <c r="J42" s="28">
        <v>0</v>
      </c>
    </row>
    <row r="43" spans="2:10" x14ac:dyDescent="0.25">
      <c r="B43" s="9" t="s">
        <v>131</v>
      </c>
      <c r="C43" s="36">
        <v>1866</v>
      </c>
      <c r="D43" s="36">
        <v>2002</v>
      </c>
      <c r="E43" s="36">
        <v>2056</v>
      </c>
      <c r="F43" s="28">
        <v>0</v>
      </c>
      <c r="G43" s="28">
        <v>0</v>
      </c>
      <c r="H43" s="28">
        <v>0</v>
      </c>
      <c r="I43" s="28">
        <v>0</v>
      </c>
      <c r="J43" s="28">
        <v>0</v>
      </c>
    </row>
    <row r="44" spans="2:10" x14ac:dyDescent="0.25">
      <c r="B44" s="9" t="s">
        <v>132</v>
      </c>
      <c r="C44" s="36">
        <v>-22245</v>
      </c>
      <c r="D44" s="36">
        <v>-17254</v>
      </c>
      <c r="E44" s="36">
        <v>-18420</v>
      </c>
      <c r="F44" s="28">
        <v>0</v>
      </c>
      <c r="G44" s="28">
        <v>0</v>
      </c>
      <c r="H44" s="28">
        <v>0</v>
      </c>
      <c r="I44" s="28">
        <v>0</v>
      </c>
      <c r="J44" s="28">
        <v>0</v>
      </c>
    </row>
    <row r="45" spans="2:10" x14ac:dyDescent="0.25">
      <c r="B45" s="9" t="s">
        <v>133</v>
      </c>
      <c r="C45" s="36">
        <v>-19800</v>
      </c>
      <c r="D45" s="36">
        <v>-21771</v>
      </c>
      <c r="E45" s="36">
        <v>-24082</v>
      </c>
      <c r="F45" s="28">
        <f>E45*(1+Assumptions!E29)</f>
        <v>-26490.2</v>
      </c>
      <c r="G45" s="28">
        <f>F45*(1+Assumptions!F29)</f>
        <v>-29139.220000000005</v>
      </c>
      <c r="H45" s="28">
        <f>G45*(1+Assumptions!G29)</f>
        <v>-31907.445900000006</v>
      </c>
      <c r="I45" s="28">
        <f>H45*(1+Assumptions!H29)</f>
        <v>-34779.116031000012</v>
      </c>
      <c r="J45" s="28">
        <f>I45*(1+Assumptions!I29)</f>
        <v>-37735.34089363501</v>
      </c>
    </row>
    <row r="46" spans="2:10" x14ac:dyDescent="0.25">
      <c r="B46" s="9" t="s">
        <v>125</v>
      </c>
      <c r="C46" s="36">
        <v>-1006</v>
      </c>
      <c r="D46" s="36">
        <v>-1309</v>
      </c>
      <c r="E46" s="36">
        <v>-2291</v>
      </c>
      <c r="F46" s="28">
        <v>0</v>
      </c>
      <c r="G46" s="28">
        <v>0</v>
      </c>
      <c r="H46" s="28">
        <v>0</v>
      </c>
      <c r="I46" s="28">
        <v>0</v>
      </c>
      <c r="J46" s="28">
        <v>0</v>
      </c>
    </row>
    <row r="47" spans="2:10" x14ac:dyDescent="0.25">
      <c r="B47" s="13"/>
      <c r="C47" s="36"/>
      <c r="D47" s="36"/>
      <c r="E47" s="36"/>
      <c r="F47" s="28"/>
      <c r="G47" s="28"/>
      <c r="H47" s="28"/>
      <c r="I47" s="28"/>
      <c r="J47" s="28"/>
    </row>
    <row r="48" spans="2:10" x14ac:dyDescent="0.25">
      <c r="B48" s="150" t="s">
        <v>134</v>
      </c>
      <c r="C48" s="151">
        <f t="shared" ref="C48:J48" si="2">SUM(C40:C46)</f>
        <v>-43935</v>
      </c>
      <c r="D48" s="151">
        <f t="shared" si="2"/>
        <v>-37757</v>
      </c>
      <c r="E48" s="151">
        <f t="shared" si="2"/>
        <v>-51699</v>
      </c>
      <c r="F48" s="152">
        <f t="shared" si="2"/>
        <v>-26490.2</v>
      </c>
      <c r="G48" s="152">
        <f t="shared" si="2"/>
        <v>-29139.220000000005</v>
      </c>
      <c r="H48" s="152">
        <f t="shared" si="2"/>
        <v>-31907.445900000006</v>
      </c>
      <c r="I48" s="152">
        <f t="shared" si="2"/>
        <v>-34779.116031000012</v>
      </c>
      <c r="J48" s="152">
        <f t="shared" si="2"/>
        <v>-37735.34089363501</v>
      </c>
    </row>
    <row r="49" spans="2:10" x14ac:dyDescent="0.25">
      <c r="B49" s="19"/>
      <c r="C49" s="47"/>
      <c r="D49" s="47"/>
      <c r="E49" s="47"/>
      <c r="F49" s="32"/>
      <c r="G49" s="32"/>
      <c r="H49" s="32"/>
      <c r="I49" s="32"/>
      <c r="J49" s="32"/>
    </row>
    <row r="50" spans="2:10" x14ac:dyDescent="0.25">
      <c r="B50" s="9" t="s">
        <v>135</v>
      </c>
      <c r="C50" s="36">
        <v>-194</v>
      </c>
      <c r="D50" s="36">
        <v>-210</v>
      </c>
      <c r="E50" s="36">
        <v>63</v>
      </c>
      <c r="F50" s="28">
        <v>0</v>
      </c>
      <c r="G50" s="28">
        <v>0</v>
      </c>
      <c r="H50" s="28">
        <v>0</v>
      </c>
      <c r="I50" s="28">
        <v>0</v>
      </c>
      <c r="J50" s="28">
        <v>0</v>
      </c>
    </row>
    <row r="51" spans="2:10" x14ac:dyDescent="0.25">
      <c r="B51" s="9"/>
      <c r="C51" s="36"/>
      <c r="D51" s="36"/>
      <c r="E51" s="36"/>
      <c r="F51" s="28"/>
      <c r="G51" s="28"/>
      <c r="H51" s="28"/>
      <c r="I51" s="28"/>
      <c r="J51" s="28"/>
    </row>
    <row r="52" spans="2:10" x14ac:dyDescent="0.25">
      <c r="B52" s="157" t="s">
        <v>136</v>
      </c>
      <c r="C52" s="151">
        <f>SUM(C27+C37+C48+C50)</f>
        <v>20773</v>
      </c>
      <c r="D52" s="151">
        <f>SUM(D27+D37+D48+D50)</f>
        <v>-16389</v>
      </c>
      <c r="E52" s="151">
        <f>SUM(E27+E37+E48+E50)</f>
        <v>11927</v>
      </c>
      <c r="F52" s="152">
        <f>F27+F37+F48+F50</f>
        <v>23497.485703999973</v>
      </c>
      <c r="G52" s="152">
        <f>G27+G37+G48+G50</f>
        <v>33886.360585307964</v>
      </c>
      <c r="H52" s="152">
        <f>H27+H37+H48+H50</f>
        <v>44909.774297489188</v>
      </c>
      <c r="I52" s="152">
        <f>I27+I37+I48+I50</f>
        <v>56002.17923447043</v>
      </c>
      <c r="J52" s="152">
        <f>J27+J37+J48+J50</f>
        <v>70020.962156904221</v>
      </c>
    </row>
    <row r="53" spans="2:10" x14ac:dyDescent="0.25">
      <c r="B53" s="33"/>
      <c r="C53" s="45"/>
      <c r="D53" s="45"/>
      <c r="E53" s="45"/>
      <c r="F53" s="46"/>
      <c r="G53" s="46"/>
      <c r="H53" s="46"/>
      <c r="I53" s="46"/>
      <c r="J53" s="46"/>
    </row>
    <row r="54" spans="2:10" x14ac:dyDescent="0.25">
      <c r="B54" s="9" t="s">
        <v>137</v>
      </c>
      <c r="C54" s="36">
        <v>13931</v>
      </c>
      <c r="D54" s="36">
        <v>34704</v>
      </c>
      <c r="E54" s="36">
        <v>18315</v>
      </c>
      <c r="F54" s="49">
        <f>'Balance Sheet'!E10</f>
        <v>30242</v>
      </c>
      <c r="G54" s="49">
        <f>'Balance Sheet'!F10</f>
        <v>53739.485703999977</v>
      </c>
      <c r="H54" s="49">
        <f>'Balance Sheet'!G10</f>
        <v>87625.846289307941</v>
      </c>
      <c r="I54" s="49">
        <f>'Balance Sheet'!H10</f>
        <v>132535.62058679713</v>
      </c>
      <c r="J54" s="49">
        <f>'Balance Sheet'!I10</f>
        <v>188537.79982126754</v>
      </c>
    </row>
    <row r="55" spans="2:10" x14ac:dyDescent="0.25">
      <c r="B55" s="13"/>
      <c r="C55" s="44"/>
      <c r="D55" s="44"/>
      <c r="E55" s="44"/>
      <c r="F55" s="41"/>
      <c r="G55" s="41"/>
      <c r="H55" s="41"/>
      <c r="I55" s="41"/>
      <c r="J55" s="41"/>
    </row>
    <row r="56" spans="2:10" x14ac:dyDescent="0.25">
      <c r="B56" s="150" t="s">
        <v>138</v>
      </c>
      <c r="C56" s="153">
        <f>SUM(C52+C54)</f>
        <v>34704</v>
      </c>
      <c r="D56" s="153">
        <f>SUM(D52+D54)</f>
        <v>18315</v>
      </c>
      <c r="E56" s="153">
        <f>SUM(E52+E54)</f>
        <v>30242</v>
      </c>
      <c r="F56" s="154">
        <f>F54+F52</f>
        <v>53739.485703999977</v>
      </c>
      <c r="G56" s="154">
        <f>G54+G52</f>
        <v>87625.846289307941</v>
      </c>
      <c r="H56" s="154">
        <f>H54+H52</f>
        <v>132535.62058679713</v>
      </c>
      <c r="I56" s="154">
        <f>I54+I52</f>
        <v>188537.79982126754</v>
      </c>
      <c r="J56" s="154">
        <f>J54+J52</f>
        <v>258558.76197817177</v>
      </c>
    </row>
    <row r="57" spans="2:10" x14ac:dyDescent="0.25">
      <c r="B57" s="39"/>
      <c r="C57" s="39"/>
      <c r="D57" s="39"/>
      <c r="E57" s="39"/>
      <c r="F57" s="39"/>
      <c r="G57" s="39"/>
      <c r="H57" s="39"/>
      <c r="I57" s="39"/>
      <c r="J57" s="39"/>
    </row>
  </sheetData>
  <mergeCells count="2">
    <mergeCell ref="C4:E4"/>
    <mergeCell ref="F4:J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H47"/>
  <sheetViews>
    <sheetView showGridLines="0" workbookViewId="0"/>
  </sheetViews>
  <sheetFormatPr defaultColWidth="8.5546875" defaultRowHeight="13.8" x14ac:dyDescent="0.25"/>
  <cols>
    <col min="1" max="1" width="2.77734375" style="51" customWidth="1"/>
    <col min="2" max="2" width="32.21875" style="94" customWidth="1"/>
    <col min="3" max="8" width="9.77734375" style="51" customWidth="1"/>
    <col min="9" max="16384" width="8.5546875" style="51"/>
  </cols>
  <sheetData>
    <row r="1" spans="2:8" x14ac:dyDescent="0.25">
      <c r="B1" s="94" t="s">
        <v>55</v>
      </c>
    </row>
    <row r="2" spans="2:8" ht="19.2" x14ac:dyDescent="0.25">
      <c r="B2" s="178" t="s">
        <v>139</v>
      </c>
    </row>
    <row r="4" spans="2:8" x14ac:dyDescent="0.25">
      <c r="B4" s="88" t="s">
        <v>140</v>
      </c>
      <c r="C4" s="89"/>
      <c r="D4" s="89"/>
      <c r="E4" s="89"/>
      <c r="F4" s="89"/>
      <c r="G4" s="89"/>
      <c r="H4" s="89"/>
    </row>
    <row r="5" spans="2:8" x14ac:dyDescent="0.25">
      <c r="B5" s="58" t="s">
        <v>140</v>
      </c>
      <c r="C5" s="121" t="s">
        <v>5</v>
      </c>
      <c r="D5" s="122" t="s">
        <v>6</v>
      </c>
      <c r="E5" s="122" t="s">
        <v>7</v>
      </c>
      <c r="F5" s="122" t="s">
        <v>8</v>
      </c>
      <c r="G5" s="122" t="s">
        <v>9</v>
      </c>
      <c r="H5" s="122" t="s">
        <v>10</v>
      </c>
    </row>
    <row r="6" spans="2:8" x14ac:dyDescent="0.25">
      <c r="B6" s="90" t="s">
        <v>141</v>
      </c>
      <c r="C6" s="143">
        <f>'Balance Sheet'!D21</f>
        <v>135591</v>
      </c>
      <c r="D6" s="143">
        <f>'Balance Sheet'!E21</f>
        <v>204966</v>
      </c>
      <c r="E6" s="143">
        <f>'Balance Sheet'!F21</f>
        <v>233617.3308</v>
      </c>
      <c r="F6" s="143">
        <f>'Balance Sheet'!G21</f>
        <v>262013.98310399998</v>
      </c>
      <c r="G6" s="143">
        <f>'Balance Sheet'!H21</f>
        <v>290126.66888496</v>
      </c>
      <c r="H6" s="143">
        <f>'Balance Sheet'!I21</f>
        <v>317239.79250481923</v>
      </c>
    </row>
    <row r="7" spans="2:8" x14ac:dyDescent="0.25">
      <c r="B7" s="90" t="s">
        <v>142</v>
      </c>
      <c r="C7" s="96">
        <f>-'Cash Flow Statement'!E30</f>
        <v>64551</v>
      </c>
      <c r="D7" s="96">
        <f>-'Cash Flow Statement'!F30</f>
        <v>66853.105199999991</v>
      </c>
      <c r="E7" s="96">
        <f>-'Cash Flow Statement'!G30</f>
        <v>70991.63076</v>
      </c>
      <c r="F7" s="96">
        <f>-'Cash Flow Statement'!H30</f>
        <v>74186.254144200007</v>
      </c>
      <c r="G7" s="96">
        <f>-'Cash Flow Statement'!I30</f>
        <v>76255.660180854014</v>
      </c>
      <c r="H7" s="96">
        <f>-'Cash Flow Statement'!J30</f>
        <v>77420.677211394839</v>
      </c>
    </row>
    <row r="8" spans="2:8" x14ac:dyDescent="0.25">
      <c r="B8" s="90" t="s">
        <v>143</v>
      </c>
      <c r="C8" s="96">
        <f>'Cash Flow Statement'!E11</f>
        <v>34153</v>
      </c>
      <c r="D8" s="96">
        <f>'Cash Flow Statement'!F11</f>
        <v>38201.774399999995</v>
      </c>
      <c r="E8" s="96">
        <f>'Cash Flow Statement'!G11</f>
        <v>42594.978455999997</v>
      </c>
      <c r="F8" s="96">
        <f>'Cash Flow Statement'!H11</f>
        <v>46073.568363239996</v>
      </c>
      <c r="G8" s="96">
        <f>'Cash Flow Statement'!I11</f>
        <v>49142.536560994806</v>
      </c>
      <c r="H8" s="96">
        <f>'Cash Flow Statement'!J11</f>
        <v>52372.811054767095</v>
      </c>
    </row>
    <row r="9" spans="2:8" x14ac:dyDescent="0.25">
      <c r="B9" s="90" t="s">
        <v>144</v>
      </c>
      <c r="C9" s="144">
        <v>38977</v>
      </c>
      <c r="D9" s="144">
        <v>0</v>
      </c>
      <c r="E9" s="144">
        <v>0</v>
      </c>
      <c r="F9" s="144">
        <v>0</v>
      </c>
      <c r="G9" s="144">
        <v>0</v>
      </c>
      <c r="H9" s="144">
        <v>0</v>
      </c>
    </row>
    <row r="10" spans="2:8" x14ac:dyDescent="0.25">
      <c r="B10" s="101" t="s">
        <v>145</v>
      </c>
      <c r="C10" s="92">
        <f t="shared" ref="C10:H10" si="0">C6+C7-C8+C9</f>
        <v>204966</v>
      </c>
      <c r="D10" s="92">
        <f t="shared" si="0"/>
        <v>233617.3308</v>
      </c>
      <c r="E10" s="92">
        <f t="shared" si="0"/>
        <v>262013.98310399998</v>
      </c>
      <c r="F10" s="92">
        <f t="shared" si="0"/>
        <v>290126.66888496</v>
      </c>
      <c r="G10" s="92">
        <f t="shared" si="0"/>
        <v>317239.79250481923</v>
      </c>
      <c r="H10" s="92">
        <f t="shared" si="0"/>
        <v>342287.65866144694</v>
      </c>
    </row>
    <row r="11" spans="2:8" x14ac:dyDescent="0.25">
      <c r="B11" s="101"/>
      <c r="C11" s="92"/>
      <c r="D11" s="92"/>
      <c r="E11" s="92"/>
      <c r="F11" s="92"/>
      <c r="G11" s="92"/>
      <c r="H11" s="92"/>
    </row>
    <row r="12" spans="2:8" x14ac:dyDescent="0.25">
      <c r="B12" s="93" t="s">
        <v>146</v>
      </c>
      <c r="C12" s="93"/>
      <c r="D12" s="93"/>
      <c r="E12" s="93"/>
      <c r="F12" s="93"/>
      <c r="G12" s="93"/>
      <c r="H12" s="93"/>
    </row>
    <row r="13" spans="2:8" x14ac:dyDescent="0.25">
      <c r="C13" s="95"/>
      <c r="D13" s="95"/>
      <c r="E13" s="95"/>
      <c r="F13" s="95"/>
      <c r="G13" s="95"/>
      <c r="H13" s="95"/>
    </row>
    <row r="14" spans="2:8" x14ac:dyDescent="0.25">
      <c r="B14" s="58" t="s">
        <v>111</v>
      </c>
      <c r="C14" s="121" t="s">
        <v>5</v>
      </c>
      <c r="D14" s="122" t="s">
        <v>6</v>
      </c>
      <c r="E14" s="122" t="s">
        <v>7</v>
      </c>
      <c r="F14" s="122" t="s">
        <v>8</v>
      </c>
      <c r="G14" s="122" t="s">
        <v>9</v>
      </c>
      <c r="H14" s="122" t="s">
        <v>10</v>
      </c>
    </row>
    <row r="15" spans="2:8" x14ac:dyDescent="0.25">
      <c r="B15" s="90" t="s">
        <v>147</v>
      </c>
      <c r="C15" s="96">
        <f>'Income Statement'!E11</f>
        <v>281724</v>
      </c>
      <c r="D15" s="96">
        <f>'Income Statement'!F11</f>
        <v>318348.12</v>
      </c>
      <c r="E15" s="96">
        <f>'Income Statement'!G11</f>
        <v>354958.15379999997</v>
      </c>
      <c r="F15" s="96">
        <f>'Income Statement'!H11</f>
        <v>390453.96918000001</v>
      </c>
      <c r="G15" s="96">
        <f>'Income Statement'!I11</f>
        <v>423642.55656030006</v>
      </c>
      <c r="H15" s="96">
        <f>'Income Statement'!J11</f>
        <v>455415.74830232252</v>
      </c>
    </row>
    <row r="16" spans="2:8" x14ac:dyDescent="0.25">
      <c r="B16" s="90" t="s">
        <v>148</v>
      </c>
      <c r="C16" s="97">
        <f>'Balance Sheet'!E14/C15</f>
        <v>0.24813292442248441</v>
      </c>
      <c r="D16" s="98">
        <f>Assumptions!E24</f>
        <v>0.25</v>
      </c>
      <c r="E16" s="98">
        <f>Assumptions!F24</f>
        <v>0.25</v>
      </c>
      <c r="F16" s="98">
        <f>Assumptions!G24</f>
        <v>0.248</v>
      </c>
      <c r="G16" s="98">
        <f>Assumptions!H24</f>
        <v>0.245</v>
      </c>
      <c r="H16" s="98">
        <f>Assumptions!I24</f>
        <v>0.24</v>
      </c>
    </row>
    <row r="17" spans="2:8" x14ac:dyDescent="0.25">
      <c r="B17" s="90" t="s">
        <v>149</v>
      </c>
      <c r="C17" s="91">
        <f t="shared" ref="C17:H17" si="1">C15*C16</f>
        <v>69905</v>
      </c>
      <c r="D17" s="91">
        <f t="shared" si="1"/>
        <v>79587.03</v>
      </c>
      <c r="E17" s="91">
        <f t="shared" si="1"/>
        <v>88739.538449999993</v>
      </c>
      <c r="F17" s="91">
        <f t="shared" si="1"/>
        <v>96832.58435664</v>
      </c>
      <c r="G17" s="91">
        <f t="shared" si="1"/>
        <v>103792.42635727351</v>
      </c>
      <c r="H17" s="91">
        <f t="shared" si="1"/>
        <v>109299.7795925574</v>
      </c>
    </row>
    <row r="18" spans="2:8" x14ac:dyDescent="0.25">
      <c r="C18" s="95"/>
      <c r="D18" s="95"/>
      <c r="E18" s="95"/>
      <c r="F18" s="95"/>
      <c r="G18" s="95"/>
      <c r="H18" s="95"/>
    </row>
    <row r="19" spans="2:8" x14ac:dyDescent="0.25">
      <c r="B19" s="58" t="s">
        <v>150</v>
      </c>
      <c r="C19" s="121" t="s">
        <v>5</v>
      </c>
      <c r="D19" s="122" t="s">
        <v>6</v>
      </c>
      <c r="E19" s="122" t="s">
        <v>7</v>
      </c>
      <c r="F19" s="122" t="s">
        <v>8</v>
      </c>
      <c r="G19" s="122" t="s">
        <v>9</v>
      </c>
      <c r="H19" s="122" t="s">
        <v>10</v>
      </c>
    </row>
    <row r="20" spans="2:8" x14ac:dyDescent="0.25">
      <c r="B20" s="90" t="s">
        <v>147</v>
      </c>
      <c r="C20" s="96">
        <f>'Income Statement'!E11</f>
        <v>281724</v>
      </c>
      <c r="D20" s="96">
        <f>'Income Statement'!F11</f>
        <v>318348.12</v>
      </c>
      <c r="E20" s="96">
        <f>'Income Statement'!G11</f>
        <v>354958.15379999997</v>
      </c>
      <c r="F20" s="96">
        <f>'Income Statement'!H11</f>
        <v>390453.96918000001</v>
      </c>
      <c r="G20" s="96">
        <f>'Income Statement'!I11</f>
        <v>423642.55656030006</v>
      </c>
      <c r="H20" s="96">
        <f>'Income Statement'!J11</f>
        <v>455415.74830232252</v>
      </c>
    </row>
    <row r="21" spans="2:8" x14ac:dyDescent="0.25">
      <c r="B21" s="90" t="s">
        <v>151</v>
      </c>
      <c r="C21" s="97">
        <f>'Balance Sheet'!E15/C20</f>
        <v>3.3294997941247461E-3</v>
      </c>
      <c r="D21" s="98">
        <f>Assumptions!E25</f>
        <v>3.0000000000000001E-3</v>
      </c>
      <c r="E21" s="98">
        <f>Assumptions!F25</f>
        <v>3.0000000000000001E-3</v>
      </c>
      <c r="F21" s="98">
        <f>Assumptions!G25</f>
        <v>3.0000000000000001E-3</v>
      </c>
      <c r="G21" s="98">
        <f>Assumptions!H25</f>
        <v>3.0000000000000001E-3</v>
      </c>
      <c r="H21" s="98">
        <f>Assumptions!I25</f>
        <v>3.0000000000000001E-3</v>
      </c>
    </row>
    <row r="22" spans="2:8" x14ac:dyDescent="0.25">
      <c r="B22" s="90" t="s">
        <v>152</v>
      </c>
      <c r="C22" s="91">
        <f t="shared" ref="C22:H22" si="2">C20*C21</f>
        <v>938</v>
      </c>
      <c r="D22" s="91">
        <f t="shared" si="2"/>
        <v>955.04435999999998</v>
      </c>
      <c r="E22" s="91">
        <f t="shared" si="2"/>
        <v>1064.8744614</v>
      </c>
      <c r="F22" s="91">
        <f t="shared" si="2"/>
        <v>1171.3619075400002</v>
      </c>
      <c r="G22" s="91">
        <f t="shared" si="2"/>
        <v>1270.9276696809002</v>
      </c>
      <c r="H22" s="91">
        <f t="shared" si="2"/>
        <v>1366.2472449069676</v>
      </c>
    </row>
    <row r="23" spans="2:8" x14ac:dyDescent="0.25">
      <c r="C23" s="95"/>
      <c r="D23" s="95"/>
      <c r="E23" s="95"/>
      <c r="F23" s="95"/>
      <c r="G23" s="95"/>
      <c r="H23" s="95"/>
    </row>
    <row r="24" spans="2:8" x14ac:dyDescent="0.25">
      <c r="B24" s="58" t="s">
        <v>80</v>
      </c>
      <c r="C24" s="112" t="s">
        <v>5</v>
      </c>
      <c r="D24" s="55" t="s">
        <v>6</v>
      </c>
      <c r="E24" s="55" t="s">
        <v>7</v>
      </c>
      <c r="F24" s="55" t="s">
        <v>8</v>
      </c>
      <c r="G24" s="55" t="s">
        <v>9</v>
      </c>
      <c r="H24" s="55" t="s">
        <v>10</v>
      </c>
    </row>
    <row r="25" spans="2:8" x14ac:dyDescent="0.25">
      <c r="B25" s="90" t="s">
        <v>147</v>
      </c>
      <c r="C25" s="96">
        <f>'Income Statement'!E11</f>
        <v>281724</v>
      </c>
      <c r="D25" s="96">
        <f>'Income Statement'!F11</f>
        <v>318348.12</v>
      </c>
      <c r="E25" s="96">
        <f>'Income Statement'!G11</f>
        <v>354958.15379999997</v>
      </c>
      <c r="F25" s="96">
        <f>'Income Statement'!H11</f>
        <v>390453.96918000001</v>
      </c>
      <c r="G25" s="96">
        <f>'Income Statement'!I11</f>
        <v>423642.55656030006</v>
      </c>
      <c r="H25" s="96">
        <f>'Income Statement'!J11</f>
        <v>455415.74830232252</v>
      </c>
    </row>
    <row r="26" spans="2:8" x14ac:dyDescent="0.25">
      <c r="B26" s="90" t="s">
        <v>153</v>
      </c>
      <c r="C26" s="97">
        <f>'Balance Sheet'!E35/C25</f>
        <v>9.8408371313768089E-2</v>
      </c>
      <c r="D26" s="98">
        <f>Assumptions!E26</f>
        <v>0.1</v>
      </c>
      <c r="E26" s="98">
        <f>Assumptions!F26</f>
        <v>0.1</v>
      </c>
      <c r="F26" s="98">
        <f>Assumptions!G26</f>
        <v>9.8000000000000004E-2</v>
      </c>
      <c r="G26" s="98">
        <f>Assumptions!H26</f>
        <v>9.6000000000000002E-2</v>
      </c>
      <c r="H26" s="98">
        <f>Assumptions!I26</f>
        <v>9.5000000000000001E-2</v>
      </c>
    </row>
    <row r="27" spans="2:8" x14ac:dyDescent="0.25">
      <c r="B27" s="90" t="s">
        <v>154</v>
      </c>
      <c r="C27" s="91">
        <f t="shared" ref="C27:H27" si="3">C25*C26</f>
        <v>27724</v>
      </c>
      <c r="D27" s="91">
        <f t="shared" si="3"/>
        <v>31834.812000000002</v>
      </c>
      <c r="E27" s="91">
        <f t="shared" si="3"/>
        <v>35495.81538</v>
      </c>
      <c r="F27" s="91">
        <f t="shared" si="3"/>
        <v>38264.488979640002</v>
      </c>
      <c r="G27" s="91">
        <f t="shared" si="3"/>
        <v>40669.685429788806</v>
      </c>
      <c r="H27" s="91">
        <f t="shared" si="3"/>
        <v>43264.49608872064</v>
      </c>
    </row>
    <row r="28" spans="2:8" x14ac:dyDescent="0.25">
      <c r="B28" s="90"/>
      <c r="C28" s="91"/>
      <c r="D28" s="91"/>
      <c r="E28" s="91"/>
      <c r="F28" s="91"/>
      <c r="G28" s="91"/>
      <c r="H28" s="91"/>
    </row>
    <row r="29" spans="2:8" x14ac:dyDescent="0.25">
      <c r="B29" s="90" t="s">
        <v>155</v>
      </c>
      <c r="C29" s="91">
        <f t="shared" ref="C29:H29" si="4">C17+C22-C27</f>
        <v>43119</v>
      </c>
      <c r="D29" s="91">
        <f t="shared" si="4"/>
        <v>48707.262359999993</v>
      </c>
      <c r="E29" s="91">
        <f t="shared" si="4"/>
        <v>54308.597531399995</v>
      </c>
      <c r="F29" s="91">
        <f t="shared" si="4"/>
        <v>59739.457284540003</v>
      </c>
      <c r="G29" s="91">
        <f t="shared" si="4"/>
        <v>64393.668597165597</v>
      </c>
      <c r="H29" s="91">
        <f t="shared" si="4"/>
        <v>67401.530748743724</v>
      </c>
    </row>
    <row r="30" spans="2:8" x14ac:dyDescent="0.25">
      <c r="B30" s="90" t="s">
        <v>156</v>
      </c>
      <c r="C30" s="91"/>
      <c r="D30" s="91">
        <f>D29-C29</f>
        <v>5588.2623599999934</v>
      </c>
      <c r="E30" s="91">
        <f>E29-D29</f>
        <v>5601.3351714000019</v>
      </c>
      <c r="F30" s="91">
        <f>F29-E29</f>
        <v>5430.8597531400083</v>
      </c>
      <c r="G30" s="91">
        <f>G29-F29</f>
        <v>4654.2113126255936</v>
      </c>
      <c r="H30" s="91">
        <f>H29-G29</f>
        <v>3007.8621515781269</v>
      </c>
    </row>
    <row r="31" spans="2:8" x14ac:dyDescent="0.25">
      <c r="B31" s="90"/>
      <c r="C31" s="91"/>
      <c r="D31" s="91"/>
      <c r="E31" s="91"/>
      <c r="F31" s="91"/>
      <c r="G31" s="91"/>
      <c r="H31" s="91"/>
    </row>
    <row r="32" spans="2:8" x14ac:dyDescent="0.25">
      <c r="B32" s="93" t="s">
        <v>157</v>
      </c>
      <c r="C32" s="93"/>
      <c r="D32" s="93"/>
      <c r="E32" s="93"/>
      <c r="F32" s="93"/>
      <c r="G32" s="93"/>
      <c r="H32" s="93"/>
    </row>
    <row r="33" spans="2:8" x14ac:dyDescent="0.25">
      <c r="C33" s="95"/>
      <c r="D33" s="95"/>
      <c r="E33" s="95"/>
      <c r="F33" s="95"/>
      <c r="G33" s="95"/>
      <c r="H33" s="95"/>
    </row>
    <row r="34" spans="2:8" x14ac:dyDescent="0.25">
      <c r="B34" s="58" t="s">
        <v>63</v>
      </c>
      <c r="C34" s="112" t="s">
        <v>5</v>
      </c>
      <c r="D34" s="55" t="s">
        <v>6</v>
      </c>
      <c r="E34" s="55" t="s">
        <v>7</v>
      </c>
      <c r="F34" s="55" t="s">
        <v>8</v>
      </c>
      <c r="G34" s="55" t="s">
        <v>9</v>
      </c>
      <c r="H34" s="55" t="s">
        <v>10</v>
      </c>
    </row>
    <row r="35" spans="2:8" x14ac:dyDescent="0.25">
      <c r="B35" s="90" t="s">
        <v>158</v>
      </c>
      <c r="C35" s="96">
        <f>'Balance Sheet'!D11</f>
        <v>57228</v>
      </c>
      <c r="D35" s="96">
        <f>C40</f>
        <v>64323</v>
      </c>
      <c r="E35" s="96">
        <f>D40</f>
        <v>96157.812000000005</v>
      </c>
      <c r="F35" s="96">
        <f>E40</f>
        <v>129878.83661100001</v>
      </c>
      <c r="G35" s="96">
        <f>F40</f>
        <v>165019.6938372</v>
      </c>
      <c r="H35" s="96">
        <f>G40</f>
        <v>201029.31114482551</v>
      </c>
    </row>
    <row r="36" spans="2:8" x14ac:dyDescent="0.25">
      <c r="B36" s="90" t="s">
        <v>159</v>
      </c>
      <c r="C36" s="96">
        <f>-'Cash Flow Statement'!E32</f>
        <v>29775</v>
      </c>
      <c r="D36" s="96">
        <f>-'Cash Flow Statement'!F32</f>
        <v>31834.812000000002</v>
      </c>
      <c r="E36" s="96">
        <f>-'Cash Flow Statement'!G32</f>
        <v>33721.024611000001</v>
      </c>
      <c r="F36" s="96">
        <f>-'Cash Flow Statement'!H32</f>
        <v>35140.857226200002</v>
      </c>
      <c r="G36" s="96">
        <f>-'Cash Flow Statement'!I32</f>
        <v>36009.617307625507</v>
      </c>
      <c r="H36" s="96">
        <f>-'Cash Flow Statement'!J32</f>
        <v>36433.259864185806</v>
      </c>
    </row>
    <row r="37" spans="2:8" x14ac:dyDescent="0.25">
      <c r="B37" s="197" t="s">
        <v>217</v>
      </c>
      <c r="C37" s="200">
        <v>16079</v>
      </c>
      <c r="D37" s="202">
        <v>0</v>
      </c>
      <c r="E37" s="202">
        <v>0</v>
      </c>
      <c r="F37" s="202">
        <v>0</v>
      </c>
      <c r="G37" s="202">
        <v>0</v>
      </c>
      <c r="H37" s="202">
        <v>0</v>
      </c>
    </row>
    <row r="38" spans="2:8" x14ac:dyDescent="0.25">
      <c r="B38" s="199" t="s">
        <v>218</v>
      </c>
      <c r="C38" s="200">
        <f>'Cash Flow Statement'!E34</f>
        <v>9309</v>
      </c>
      <c r="D38" s="202">
        <v>0</v>
      </c>
      <c r="E38" s="202">
        <v>0</v>
      </c>
      <c r="F38" s="202">
        <v>0</v>
      </c>
      <c r="G38" s="202">
        <v>0</v>
      </c>
      <c r="H38" s="202">
        <v>0</v>
      </c>
    </row>
    <row r="39" spans="2:8" x14ac:dyDescent="0.25">
      <c r="B39" s="197" t="s">
        <v>219</v>
      </c>
      <c r="C39" s="201">
        <f>'Balance Sheet'!E11-C35-C36+C37+C38</f>
        <v>2708</v>
      </c>
      <c r="D39" s="202">
        <v>0</v>
      </c>
      <c r="E39" s="202">
        <v>0</v>
      </c>
      <c r="F39" s="202">
        <v>0</v>
      </c>
      <c r="G39" s="202">
        <v>0</v>
      </c>
      <c r="H39" s="202">
        <v>0</v>
      </c>
    </row>
    <row r="40" spans="2:8" x14ac:dyDescent="0.25">
      <c r="B40" s="198" t="s">
        <v>220</v>
      </c>
      <c r="C40" s="201">
        <f t="shared" ref="C40:H40" si="5">C35+C36-C37-C38+C39</f>
        <v>64323</v>
      </c>
      <c r="D40" s="201">
        <f t="shared" si="5"/>
        <v>96157.812000000005</v>
      </c>
      <c r="E40" s="201">
        <f t="shared" si="5"/>
        <v>129878.83661100001</v>
      </c>
      <c r="F40" s="201">
        <f t="shared" si="5"/>
        <v>165019.6938372</v>
      </c>
      <c r="G40" s="201">
        <f t="shared" si="5"/>
        <v>201029.31114482551</v>
      </c>
      <c r="H40" s="201">
        <f t="shared" si="5"/>
        <v>237462.5710090113</v>
      </c>
    </row>
    <row r="41" spans="2:8" x14ac:dyDescent="0.25">
      <c r="B41" s="203"/>
      <c r="C41" s="204"/>
      <c r="D41" s="205"/>
      <c r="E41" s="205"/>
      <c r="F41" s="205"/>
      <c r="G41" s="205"/>
      <c r="H41" s="205"/>
    </row>
    <row r="42" spans="2:8" x14ac:dyDescent="0.25">
      <c r="B42" s="206" t="s">
        <v>221</v>
      </c>
      <c r="C42" s="207"/>
      <c r="D42" s="207"/>
      <c r="E42" s="207"/>
      <c r="F42" s="207"/>
      <c r="G42" s="207"/>
      <c r="H42" s="207"/>
    </row>
    <row r="43" spans="2:8" x14ac:dyDescent="0.25">
      <c r="B43" s="196"/>
      <c r="C43" s="208"/>
      <c r="D43" s="208"/>
      <c r="E43" s="208"/>
      <c r="F43" s="208"/>
      <c r="G43" s="208"/>
      <c r="H43" s="208"/>
    </row>
    <row r="44" spans="2:8" x14ac:dyDescent="0.25">
      <c r="B44" s="209" t="s">
        <v>222</v>
      </c>
      <c r="C44" s="211">
        <f t="shared" ref="C44:H44" si="6">C42*C43</f>
        <v>0</v>
      </c>
      <c r="D44" s="210">
        <f t="shared" si="6"/>
        <v>0</v>
      </c>
      <c r="E44" s="210">
        <f t="shared" si="6"/>
        <v>0</v>
      </c>
      <c r="F44" s="210">
        <f t="shared" si="6"/>
        <v>0</v>
      </c>
      <c r="G44" s="210">
        <f t="shared" si="6"/>
        <v>0</v>
      </c>
      <c r="H44" s="210">
        <f t="shared" si="6"/>
        <v>0</v>
      </c>
    </row>
    <row r="45" spans="2:8" x14ac:dyDescent="0.25">
      <c r="B45" s="198" t="s">
        <v>147</v>
      </c>
      <c r="C45" s="200">
        <f>'Income Statement'!E11</f>
        <v>281724</v>
      </c>
      <c r="D45" s="200">
        <f>'Income Statement'!F11</f>
        <v>318348.12</v>
      </c>
      <c r="E45" s="200">
        <f>'Income Statement'!G11</f>
        <v>354958.15379999997</v>
      </c>
      <c r="F45" s="200">
        <f>'Income Statement'!H11</f>
        <v>390453.96918000001</v>
      </c>
      <c r="G45" s="200">
        <f>'Income Statement'!I11</f>
        <v>423642.55656030006</v>
      </c>
      <c r="H45" s="200">
        <f>'Income Statement'!J11</f>
        <v>455415.74830232252</v>
      </c>
    </row>
    <row r="46" spans="2:8" x14ac:dyDescent="0.25">
      <c r="B46" s="198" t="s">
        <v>223</v>
      </c>
      <c r="C46" s="212">
        <f>'Cash Flow Statement'!E11/C45</f>
        <v>0.12122857832488534</v>
      </c>
      <c r="D46" s="212">
        <f>Assumptions!E20</f>
        <v>0.12</v>
      </c>
      <c r="E46" s="212">
        <f>Assumptions!F20</f>
        <v>0.12</v>
      </c>
      <c r="F46" s="212">
        <f>Assumptions!G20</f>
        <v>0.11799999999999999</v>
      </c>
      <c r="G46" s="212">
        <f>Assumptions!H20</f>
        <v>0.11600000000000001</v>
      </c>
      <c r="H46" s="212">
        <f>Assumptions!I20</f>
        <v>0.115</v>
      </c>
    </row>
    <row r="47" spans="2:8" x14ac:dyDescent="0.25">
      <c r="B47" s="198" t="s">
        <v>224</v>
      </c>
      <c r="C47" s="201">
        <f t="shared" ref="C47:H47" si="7">C45*C46</f>
        <v>34153</v>
      </c>
      <c r="D47" s="201">
        <f t="shared" si="7"/>
        <v>38201.774399999995</v>
      </c>
      <c r="E47" s="201">
        <f t="shared" si="7"/>
        <v>42594.978455999997</v>
      </c>
      <c r="F47" s="201">
        <f t="shared" si="7"/>
        <v>46073.568363239996</v>
      </c>
      <c r="G47" s="201">
        <f t="shared" si="7"/>
        <v>49142.536560994806</v>
      </c>
      <c r="H47" s="201">
        <f t="shared" si="7"/>
        <v>52372.811054767095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K74"/>
  <sheetViews>
    <sheetView showGridLines="0" zoomScale="96" workbookViewId="0">
      <selection activeCell="D52" sqref="D52"/>
    </sheetView>
  </sheetViews>
  <sheetFormatPr defaultColWidth="8.5546875" defaultRowHeight="15" x14ac:dyDescent="0.3"/>
  <cols>
    <col min="1" max="1" width="2.77734375" style="105" customWidth="1"/>
    <col min="2" max="2" width="37" style="51" customWidth="1"/>
    <col min="3" max="3" width="11.44140625" style="51" bestFit="1" customWidth="1"/>
    <col min="4" max="7" width="9.44140625" style="51" customWidth="1"/>
    <col min="8" max="8" width="8.5546875" style="51"/>
    <col min="9" max="9" width="37.44140625" style="51" customWidth="1"/>
    <col min="10" max="10" width="11.21875" style="51" customWidth="1"/>
    <col min="11" max="16384" width="8.5546875" style="105"/>
  </cols>
  <sheetData>
    <row r="2" spans="2:10" ht="19.2" x14ac:dyDescent="0.35">
      <c r="B2" s="109" t="s">
        <v>160</v>
      </c>
    </row>
    <row r="4" spans="2:10" x14ac:dyDescent="0.3">
      <c r="B4" s="118" t="s">
        <v>161</v>
      </c>
      <c r="C4" s="110"/>
      <c r="D4" s="110"/>
      <c r="E4" s="110"/>
      <c r="F4" s="110"/>
      <c r="G4" s="110"/>
      <c r="I4" s="118" t="s">
        <v>162</v>
      </c>
      <c r="J4" s="110"/>
    </row>
    <row r="5" spans="2:10" x14ac:dyDescent="0.3">
      <c r="B5" s="119" t="s">
        <v>163</v>
      </c>
      <c r="C5" s="124" t="s">
        <v>6</v>
      </c>
      <c r="D5" s="125" t="s">
        <v>7</v>
      </c>
      <c r="E5" s="125" t="s">
        <v>8</v>
      </c>
      <c r="F5" s="125" t="s">
        <v>9</v>
      </c>
      <c r="G5" s="125" t="s">
        <v>10</v>
      </c>
      <c r="I5" s="52" t="s">
        <v>164</v>
      </c>
      <c r="J5" s="134">
        <v>4.6100000000000002E-2</v>
      </c>
    </row>
    <row r="6" spans="2:10" x14ac:dyDescent="0.3">
      <c r="B6" s="60" t="s">
        <v>147</v>
      </c>
      <c r="C6" s="126">
        <f>'Income Statement'!F11</f>
        <v>318348.12</v>
      </c>
      <c r="D6" s="126">
        <f>'Income Statement'!G11</f>
        <v>354958.15379999997</v>
      </c>
      <c r="E6" s="126">
        <f>'Income Statement'!H11</f>
        <v>390453.96918000001</v>
      </c>
      <c r="F6" s="126">
        <f>'Income Statement'!I11</f>
        <v>423642.55656030006</v>
      </c>
      <c r="G6" s="126">
        <f>'Income Statement'!J11</f>
        <v>455415.74830232252</v>
      </c>
      <c r="I6" s="52" t="s">
        <v>165</v>
      </c>
      <c r="J6" s="135">
        <v>1.1000000000000001</v>
      </c>
    </row>
    <row r="7" spans="2:10" x14ac:dyDescent="0.3">
      <c r="B7" s="60" t="s">
        <v>166</v>
      </c>
      <c r="C7" s="127">
        <f>'Income Statement'!F11/'Income Statement'!E11-1</f>
        <v>0.12999999999999989</v>
      </c>
      <c r="D7" s="127">
        <f>'Income Statement'!G11/'Income Statement'!F11-1</f>
        <v>0.11499999999999999</v>
      </c>
      <c r="E7" s="127">
        <f>'Income Statement'!H11/'Income Statement'!G11-1</f>
        <v>0.10000000000000009</v>
      </c>
      <c r="F7" s="127">
        <f>'Income Statement'!I11/'Income Statement'!H11-1</f>
        <v>8.5000000000000187E-2</v>
      </c>
      <c r="G7" s="127">
        <f>'Income Statement'!J11/'Income Statement'!I11-1</f>
        <v>7.4999999999999956E-2</v>
      </c>
      <c r="I7" s="52" t="s">
        <v>167</v>
      </c>
      <c r="J7" s="134">
        <v>4.8000000000000001E-2</v>
      </c>
    </row>
    <row r="8" spans="2:10" x14ac:dyDescent="0.3">
      <c r="B8" s="52"/>
      <c r="C8" s="128"/>
      <c r="D8" s="128"/>
      <c r="E8" s="128"/>
      <c r="F8" s="128"/>
      <c r="G8" s="128"/>
      <c r="I8" s="68" t="s">
        <v>168</v>
      </c>
      <c r="J8" s="107">
        <f>J5+(J6*J7)</f>
        <v>9.8900000000000016E-2</v>
      </c>
    </row>
    <row r="9" spans="2:10" x14ac:dyDescent="0.3">
      <c r="B9" s="60" t="s">
        <v>169</v>
      </c>
      <c r="C9" s="129">
        <f>'Income Statement'!F28</f>
        <v>146440.13519999996</v>
      </c>
      <c r="D9" s="129">
        <f>'Income Statement'!G28</f>
        <v>164345.62520939996</v>
      </c>
      <c r="E9" s="129">
        <f>'Income Statement'!H28</f>
        <v>182342.00360706</v>
      </c>
      <c r="F9" s="129">
        <f>'Income Statement'!I28</f>
        <v>198264.71647022045</v>
      </c>
      <c r="G9" s="129">
        <f>'Income Statement'!J28</f>
        <v>214956.23319869622</v>
      </c>
    </row>
    <row r="10" spans="2:10" x14ac:dyDescent="0.3">
      <c r="B10" s="60" t="s">
        <v>170</v>
      </c>
      <c r="C10" s="127">
        <f>'Income Statement'!F28/'Income Statement'!F11</f>
        <v>0.45999999999999991</v>
      </c>
      <c r="D10" s="127">
        <f>'Income Statement'!G28/'Income Statement'!G11</f>
        <v>0.46299999999999991</v>
      </c>
      <c r="E10" s="127">
        <f>'Income Statement'!H28/'Income Statement'!H11</f>
        <v>0.46699999999999997</v>
      </c>
      <c r="F10" s="127">
        <f>'Income Statement'!I28/'Income Statement'!I11</f>
        <v>0.46800000000000003</v>
      </c>
      <c r="G10" s="127">
        <f>'Income Statement'!J28/'Income Statement'!J11</f>
        <v>0.47199999999999998</v>
      </c>
      <c r="I10" s="52" t="s">
        <v>171</v>
      </c>
      <c r="J10" s="134">
        <v>4.9000000000000002E-2</v>
      </c>
    </row>
    <row r="11" spans="2:10" x14ac:dyDescent="0.3">
      <c r="B11" s="52"/>
      <c r="C11" s="128"/>
      <c r="D11" s="128"/>
      <c r="E11" s="128"/>
      <c r="F11" s="128"/>
      <c r="G11" s="128"/>
      <c r="I11" s="52" t="s">
        <v>172</v>
      </c>
      <c r="J11" s="136">
        <f>Assumptions!E16</f>
        <v>0.18</v>
      </c>
    </row>
    <row r="12" spans="2:10" x14ac:dyDescent="0.3">
      <c r="B12" s="60" t="s">
        <v>173</v>
      </c>
      <c r="C12" s="128">
        <f>'Income Statement'!F28*Assumptions!E16</f>
        <v>26359.224335999992</v>
      </c>
      <c r="D12" s="128">
        <f>'Income Statement'!G28*Assumptions!F16</f>
        <v>29582.212537691994</v>
      </c>
      <c r="E12" s="128">
        <f>'Income Statement'!H28*Assumptions!G16</f>
        <v>32821.560649270803</v>
      </c>
      <c r="F12" s="128">
        <f>'Income Statement'!I28*Assumptions!H16</f>
        <v>35687.64896463968</v>
      </c>
      <c r="G12" s="128">
        <f>'Income Statement'!J28*Assumptions!I16</f>
        <v>38692.121975765316</v>
      </c>
      <c r="I12" s="68" t="s">
        <v>174</v>
      </c>
      <c r="J12" s="107">
        <f>J10*(1-J11)</f>
        <v>4.0180000000000007E-2</v>
      </c>
    </row>
    <row r="13" spans="2:10" x14ac:dyDescent="0.3">
      <c r="C13" s="106"/>
      <c r="D13" s="106"/>
      <c r="E13" s="106"/>
      <c r="F13" s="106"/>
      <c r="G13" s="106"/>
    </row>
    <row r="14" spans="2:10" x14ac:dyDescent="0.3">
      <c r="B14" s="167" t="s">
        <v>175</v>
      </c>
      <c r="C14" s="175">
        <f>C9-C12</f>
        <v>120080.91086399998</v>
      </c>
      <c r="D14" s="175">
        <f>D9-D12</f>
        <v>134763.41267170798</v>
      </c>
      <c r="E14" s="175">
        <f>E9-E12</f>
        <v>149520.4429577892</v>
      </c>
      <c r="F14" s="175">
        <f>F9-F12</f>
        <v>162577.06750558078</v>
      </c>
      <c r="G14" s="175">
        <f>G9-G12</f>
        <v>176264.11122293089</v>
      </c>
      <c r="I14" s="52" t="s">
        <v>176</v>
      </c>
      <c r="J14" s="137">
        <f>J19*'Income Statement'!E44</f>
        <v>2939111.2</v>
      </c>
    </row>
    <row r="15" spans="2:10" x14ac:dyDescent="0.3">
      <c r="B15" s="115"/>
      <c r="C15" s="116"/>
      <c r="D15" s="116"/>
      <c r="E15" s="116"/>
      <c r="F15" s="116"/>
      <c r="G15" s="116"/>
      <c r="I15" s="138" t="s">
        <v>177</v>
      </c>
      <c r="J15" s="139">
        <f>'Balance Sheet'!E36+'Balance Sheet'!E37+'Balance Sheet'!E46</f>
        <v>43151</v>
      </c>
    </row>
    <row r="16" spans="2:10" x14ac:dyDescent="0.3">
      <c r="B16" s="60" t="s">
        <v>178</v>
      </c>
      <c r="C16" s="129">
        <f>'Cash Flow Statement'!F11</f>
        <v>38201.774399999995</v>
      </c>
      <c r="D16" s="129">
        <f>'Cash Flow Statement'!G11</f>
        <v>42594.978455999997</v>
      </c>
      <c r="E16" s="129">
        <f>'Cash Flow Statement'!H11</f>
        <v>46073.568363239996</v>
      </c>
      <c r="F16" s="129">
        <f>'Cash Flow Statement'!I11</f>
        <v>49142.536560994806</v>
      </c>
      <c r="G16" s="129">
        <f>'Cash Flow Statement'!J11</f>
        <v>52372.811054767095</v>
      </c>
      <c r="I16" s="52" t="s">
        <v>179</v>
      </c>
      <c r="J16" s="137">
        <f>J14+J15</f>
        <v>2982262.2</v>
      </c>
    </row>
    <row r="17" spans="2:11" x14ac:dyDescent="0.3">
      <c r="B17" s="60" t="s">
        <v>180</v>
      </c>
      <c r="C17" s="129">
        <f>'Cash Flow Statement'!F30</f>
        <v>-66853.105199999991</v>
      </c>
      <c r="D17" s="129">
        <f>'Cash Flow Statement'!G30</f>
        <v>-70991.63076</v>
      </c>
      <c r="E17" s="129">
        <f>'Cash Flow Statement'!H30</f>
        <v>-74186.254144200007</v>
      </c>
      <c r="F17" s="129">
        <f>'Cash Flow Statement'!I30</f>
        <v>-76255.660180854014</v>
      </c>
      <c r="G17" s="129">
        <f>'Cash Flow Statement'!J30</f>
        <v>-77420.677211394839</v>
      </c>
      <c r="I17" s="52" t="s">
        <v>181</v>
      </c>
      <c r="J17" s="140">
        <f>J14/J16</f>
        <v>0.98553078263876326</v>
      </c>
    </row>
    <row r="18" spans="2:11" x14ac:dyDescent="0.3">
      <c r="B18" s="60" t="s">
        <v>156</v>
      </c>
      <c r="C18" s="129">
        <f>'Supporting Schedules'!D30</f>
        <v>5588.2623599999934</v>
      </c>
      <c r="D18" s="129">
        <f>'Supporting Schedules'!E30</f>
        <v>5601.3351714000019</v>
      </c>
      <c r="E18" s="129">
        <f>'Supporting Schedules'!F30</f>
        <v>5430.8597531400083</v>
      </c>
      <c r="F18" s="129">
        <f>'Supporting Schedules'!G30</f>
        <v>4654.2113126255936</v>
      </c>
      <c r="G18" s="129">
        <f>'Supporting Schedules'!H30</f>
        <v>3007.8621515781269</v>
      </c>
      <c r="I18" s="52" t="s">
        <v>182</v>
      </c>
      <c r="J18" s="140">
        <f>J15/J16</f>
        <v>1.4469217361236714E-2</v>
      </c>
    </row>
    <row r="19" spans="2:11" x14ac:dyDescent="0.3">
      <c r="C19" s="106"/>
      <c r="D19" s="106"/>
      <c r="E19" s="106"/>
      <c r="F19" s="106"/>
      <c r="G19" s="106"/>
      <c r="I19" s="52" t="s">
        <v>183</v>
      </c>
      <c r="J19" s="141">
        <v>393.35</v>
      </c>
    </row>
    <row r="20" spans="2:11" x14ac:dyDescent="0.3">
      <c r="B20" s="167" t="s">
        <v>184</v>
      </c>
      <c r="C20" s="183">
        <f>C14+C16+C17-C18</f>
        <v>85841.317703999986</v>
      </c>
      <c r="D20" s="183">
        <f>D14+D16+D17-D18</f>
        <v>100765.42519630796</v>
      </c>
      <c r="E20" s="183">
        <f>E14+E16+E17-E18</f>
        <v>115976.89742368917</v>
      </c>
      <c r="F20" s="183">
        <f>F14+F16+F17-F18</f>
        <v>130809.73257309597</v>
      </c>
      <c r="G20" s="183">
        <f>G14+G16+G17-G18</f>
        <v>148208.38291472505</v>
      </c>
      <c r="I20" s="52" t="s">
        <v>185</v>
      </c>
      <c r="J20" s="142">
        <v>46231</v>
      </c>
    </row>
    <row r="21" spans="2:11" x14ac:dyDescent="0.3">
      <c r="B21" s="113"/>
      <c r="C21" s="114"/>
      <c r="D21" s="114"/>
      <c r="E21" s="114"/>
      <c r="F21" s="114"/>
      <c r="G21" s="114"/>
      <c r="I21" s="68" t="s">
        <v>186</v>
      </c>
      <c r="J21" s="107">
        <f>J17*J8+J18*J12</f>
        <v>9.8050367556548196E-2</v>
      </c>
    </row>
    <row r="22" spans="2:11" x14ac:dyDescent="0.3">
      <c r="B22" s="60" t="s">
        <v>187</v>
      </c>
      <c r="C22" s="127"/>
      <c r="D22" s="127">
        <f>D20/C20-1</f>
        <v>0.17385692451471479</v>
      </c>
      <c r="E22" s="127">
        <f>E20/D20-1</f>
        <v>0.15095924219787404</v>
      </c>
      <c r="F22" s="127">
        <f>F20/E20-1</f>
        <v>0.12789474006378354</v>
      </c>
      <c r="G22" s="127">
        <f>G20/F20-1</f>
        <v>0.1330073076321503</v>
      </c>
      <c r="I22" s="52" t="s">
        <v>188</v>
      </c>
      <c r="J22" s="134">
        <v>2.5000000000000001E-2</v>
      </c>
    </row>
    <row r="23" spans="2:11" x14ac:dyDescent="0.3">
      <c r="B23" s="120"/>
    </row>
    <row r="24" spans="2:11" x14ac:dyDescent="0.3">
      <c r="B24" s="118" t="s">
        <v>189</v>
      </c>
      <c r="C24" s="110"/>
      <c r="D24" s="118"/>
      <c r="E24" s="110"/>
      <c r="F24" s="118"/>
      <c r="G24" s="110"/>
      <c r="I24" s="174" t="s">
        <v>190</v>
      </c>
      <c r="J24" s="173"/>
    </row>
    <row r="25" spans="2:11" x14ac:dyDescent="0.3">
      <c r="B25" s="119" t="s">
        <v>58</v>
      </c>
      <c r="C25" s="124" t="s">
        <v>6</v>
      </c>
      <c r="D25" s="125" t="s">
        <v>7</v>
      </c>
      <c r="E25" s="125" t="s">
        <v>8</v>
      </c>
      <c r="F25" s="125" t="s">
        <v>9</v>
      </c>
      <c r="G25" s="125" t="s">
        <v>10</v>
      </c>
      <c r="I25" s="68" t="s">
        <v>191</v>
      </c>
      <c r="J25" s="179">
        <f>'Income Statement'!E44</f>
        <v>7472</v>
      </c>
    </row>
    <row r="26" spans="2:11" x14ac:dyDescent="0.3">
      <c r="B26" s="60" t="s">
        <v>192</v>
      </c>
      <c r="C26" s="52">
        <v>1</v>
      </c>
      <c r="D26" s="52">
        <v>2</v>
      </c>
      <c r="E26" s="52">
        <v>3</v>
      </c>
      <c r="F26" s="52">
        <v>4</v>
      </c>
      <c r="G26" s="52">
        <v>5</v>
      </c>
      <c r="I26" s="68" t="s">
        <v>193</v>
      </c>
      <c r="J26" s="180">
        <f>C60</f>
        <v>239.07195158819641</v>
      </c>
      <c r="K26" s="51"/>
    </row>
    <row r="27" spans="2:11" x14ac:dyDescent="0.3">
      <c r="B27" s="60" t="s">
        <v>194</v>
      </c>
      <c r="C27" s="130">
        <f>C20</f>
        <v>85841.317703999986</v>
      </c>
      <c r="D27" s="130">
        <f>D20</f>
        <v>100765.42519630796</v>
      </c>
      <c r="E27" s="130">
        <f>E20</f>
        <v>115976.89742368917</v>
      </c>
      <c r="F27" s="130">
        <f>F20</f>
        <v>130809.73257309597</v>
      </c>
      <c r="G27" s="130">
        <f>G20</f>
        <v>148208.38291472505</v>
      </c>
      <c r="I27" s="68" t="s">
        <v>195</v>
      </c>
      <c r="J27" s="181">
        <f>J19</f>
        <v>393.35</v>
      </c>
      <c r="K27" s="51"/>
    </row>
    <row r="28" spans="2:11" x14ac:dyDescent="0.3">
      <c r="B28" s="60" t="s">
        <v>196</v>
      </c>
      <c r="C28" s="131">
        <f>1/(1+$J$21)^C26</f>
        <v>0.91070503644132805</v>
      </c>
      <c r="D28" s="131">
        <f>1/(1+$J$21)^D26</f>
        <v>0.82938366339960079</v>
      </c>
      <c r="E28" s="131">
        <f>1/(1+$J$21)^E26</f>
        <v>0.75532387940017554</v>
      </c>
      <c r="F28" s="131">
        <f>1/(1+$J$21)^F26</f>
        <v>0.68787726111414227</v>
      </c>
      <c r="G28" s="131">
        <f>1/(1+$J$21)^G26</f>
        <v>0.62645328615011597</v>
      </c>
      <c r="I28" s="68" t="s">
        <v>197</v>
      </c>
      <c r="J28" s="182">
        <f>C63</f>
        <v>-0.39221570716106169</v>
      </c>
      <c r="K28" s="51"/>
    </row>
    <row r="29" spans="2:11" x14ac:dyDescent="0.3">
      <c r="B29" s="60"/>
      <c r="C29" s="131"/>
      <c r="D29" s="131"/>
      <c r="E29" s="131"/>
      <c r="F29" s="131"/>
      <c r="G29" s="131"/>
      <c r="K29" s="51"/>
    </row>
    <row r="30" spans="2:11" x14ac:dyDescent="0.3">
      <c r="B30" s="167" t="s">
        <v>198</v>
      </c>
      <c r="C30" s="176">
        <f>C27*C28</f>
        <v>78176.12036779293</v>
      </c>
      <c r="D30" s="176">
        <f t="shared" ref="D30:G30" si="0">D27*D28</f>
        <v>83573.197493332336</v>
      </c>
      <c r="E30" s="176">
        <f t="shared" si="0"/>
        <v>87600.120082857131</v>
      </c>
      <c r="F30" s="176">
        <f t="shared" si="0"/>
        <v>89981.040569454664</v>
      </c>
      <c r="G30" s="176">
        <f t="shared" si="0"/>
        <v>92845.628511924209</v>
      </c>
    </row>
    <row r="31" spans="2:11" x14ac:dyDescent="0.3">
      <c r="B31" s="115"/>
      <c r="C31" s="115"/>
      <c r="D31" s="115"/>
      <c r="E31" s="115"/>
      <c r="F31" s="115"/>
      <c r="G31" s="115"/>
    </row>
    <row r="32" spans="2:11" x14ac:dyDescent="0.3">
      <c r="B32" s="68" t="s">
        <v>199</v>
      </c>
      <c r="C32" s="108">
        <f>SUM(C30:G30)</f>
        <v>432176.10702536127</v>
      </c>
    </row>
    <row r="34" spans="2:10" x14ac:dyDescent="0.3">
      <c r="B34" s="118" t="s">
        <v>200</v>
      </c>
      <c r="C34" s="110"/>
    </row>
    <row r="35" spans="2:10" x14ac:dyDescent="0.3">
      <c r="B35" s="60" t="s">
        <v>201</v>
      </c>
      <c r="C35" s="130">
        <f>G20</f>
        <v>148208.38291472505</v>
      </c>
    </row>
    <row r="36" spans="2:10" x14ac:dyDescent="0.3">
      <c r="B36" s="60" t="s">
        <v>188</v>
      </c>
      <c r="C36" s="132">
        <f>J22</f>
        <v>2.5000000000000001E-2</v>
      </c>
    </row>
    <row r="37" spans="2:10" x14ac:dyDescent="0.3">
      <c r="B37" s="60" t="s">
        <v>202</v>
      </c>
      <c r="C37" s="184">
        <f>C35*(1+C36)</f>
        <v>151913.59248759315</v>
      </c>
    </row>
    <row r="38" spans="2:10" x14ac:dyDescent="0.3">
      <c r="B38" s="60" t="s">
        <v>186</v>
      </c>
      <c r="C38" s="132">
        <f>J21</f>
        <v>9.8050367556548196E-2</v>
      </c>
    </row>
    <row r="40" spans="2:10" x14ac:dyDescent="0.3">
      <c r="B40" s="167" t="s">
        <v>200</v>
      </c>
      <c r="C40" s="185">
        <f>C37/(C38-C36)</f>
        <v>2079573.2803123409</v>
      </c>
    </row>
    <row r="41" spans="2:10" x14ac:dyDescent="0.3">
      <c r="B41" s="113"/>
      <c r="C41" s="117"/>
    </row>
    <row r="42" spans="2:10" x14ac:dyDescent="0.3">
      <c r="B42" s="60" t="s">
        <v>203</v>
      </c>
      <c r="C42" s="131">
        <f>G28</f>
        <v>0.62645328615011597</v>
      </c>
    </row>
    <row r="43" spans="2:10" x14ac:dyDescent="0.3">
      <c r="B43" s="146"/>
      <c r="C43" s="147"/>
    </row>
    <row r="44" spans="2:10" x14ac:dyDescent="0.3">
      <c r="B44" s="167" t="s">
        <v>204</v>
      </c>
      <c r="C44" s="176">
        <f>C40*C42</f>
        <v>1302755.5152416422</v>
      </c>
    </row>
    <row r="45" spans="2:10" x14ac:dyDescent="0.3">
      <c r="B45" s="115"/>
      <c r="C45" s="115"/>
      <c r="I45" s="105"/>
      <c r="J45" s="105"/>
    </row>
    <row r="46" spans="2:10" x14ac:dyDescent="0.3">
      <c r="B46" s="118" t="s">
        <v>205</v>
      </c>
      <c r="C46" s="110"/>
      <c r="I46" s="105"/>
      <c r="J46" s="105"/>
    </row>
    <row r="47" spans="2:10" x14ac:dyDescent="0.3">
      <c r="B47" s="119" t="s">
        <v>163</v>
      </c>
      <c r="C47" s="111"/>
      <c r="I47" s="105"/>
      <c r="J47" s="105"/>
    </row>
    <row r="48" spans="2:10" x14ac:dyDescent="0.3">
      <c r="I48" s="105"/>
      <c r="J48" s="105"/>
    </row>
    <row r="49" spans="2:3" x14ac:dyDescent="0.3">
      <c r="B49" s="60" t="s">
        <v>199</v>
      </c>
      <c r="C49" s="130">
        <f>C32</f>
        <v>432176.10702536127</v>
      </c>
    </row>
    <row r="50" spans="2:3" x14ac:dyDescent="0.3">
      <c r="B50" s="60" t="s">
        <v>204</v>
      </c>
      <c r="C50" s="184">
        <f>C44</f>
        <v>1302755.5152416422</v>
      </c>
    </row>
    <row r="52" spans="2:3" x14ac:dyDescent="0.3">
      <c r="B52" s="167" t="s">
        <v>206</v>
      </c>
      <c r="C52" s="185">
        <f>SUM(C49:C50)</f>
        <v>1734931.6222670036</v>
      </c>
    </row>
    <row r="53" spans="2:3" x14ac:dyDescent="0.3">
      <c r="B53" s="115"/>
      <c r="C53" s="115"/>
    </row>
    <row r="54" spans="2:3" x14ac:dyDescent="0.3">
      <c r="B54" s="60" t="s">
        <v>207</v>
      </c>
      <c r="C54" s="186">
        <f>'Balance Sheet'!E13</f>
        <v>94565</v>
      </c>
    </row>
    <row r="55" spans="2:3" x14ac:dyDescent="0.3">
      <c r="B55" s="60" t="s">
        <v>208</v>
      </c>
      <c r="C55" s="184">
        <f>J15</f>
        <v>43151</v>
      </c>
    </row>
    <row r="57" spans="2:3" x14ac:dyDescent="0.3">
      <c r="B57" s="167" t="s">
        <v>209</v>
      </c>
      <c r="C57" s="185">
        <f>C52+C54-C55</f>
        <v>1786345.6222670036</v>
      </c>
    </row>
    <row r="58" spans="2:3" x14ac:dyDescent="0.3">
      <c r="B58" s="115"/>
      <c r="C58" s="115"/>
    </row>
    <row r="59" spans="2:3" x14ac:dyDescent="0.3">
      <c r="B59" s="60" t="s">
        <v>191</v>
      </c>
      <c r="C59" s="186">
        <f>'Income Statement'!E44</f>
        <v>7472</v>
      </c>
    </row>
    <row r="60" spans="2:3" x14ac:dyDescent="0.3">
      <c r="B60" s="60" t="s">
        <v>193</v>
      </c>
      <c r="C60" s="184">
        <f>C57/C59</f>
        <v>239.07195158819641</v>
      </c>
    </row>
    <row r="61" spans="2:3" x14ac:dyDescent="0.3">
      <c r="B61" s="60" t="s">
        <v>210</v>
      </c>
      <c r="C61" s="133">
        <f>J19</f>
        <v>393.35</v>
      </c>
    </row>
    <row r="62" spans="2:3" x14ac:dyDescent="0.3">
      <c r="B62" s="60"/>
      <c r="C62" s="133"/>
    </row>
    <row r="63" spans="2:3" x14ac:dyDescent="0.3">
      <c r="B63" s="167" t="s">
        <v>197</v>
      </c>
      <c r="C63" s="177">
        <f>C60/C61-1</f>
        <v>-0.39221570716106169</v>
      </c>
    </row>
    <row r="64" spans="2:3" x14ac:dyDescent="0.3">
      <c r="B64" s="115"/>
      <c r="C64" s="115"/>
    </row>
    <row r="74" spans="9:10" x14ac:dyDescent="0.3">
      <c r="I74" s="105"/>
      <c r="J74" s="10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G18"/>
  <sheetViews>
    <sheetView showGridLines="0" workbookViewId="0"/>
  </sheetViews>
  <sheetFormatPr defaultColWidth="8.5546875" defaultRowHeight="13.8" x14ac:dyDescent="0.25"/>
  <cols>
    <col min="1" max="1" width="2.77734375" style="187" customWidth="1"/>
    <col min="2" max="2" width="29" style="187" customWidth="1"/>
    <col min="3" max="8" width="14" style="187" customWidth="1"/>
    <col min="9" max="16384" width="8.5546875" style="187"/>
  </cols>
  <sheetData>
    <row r="2" spans="2:7" ht="19.2" x14ac:dyDescent="0.35">
      <c r="B2" s="221" t="s">
        <v>211</v>
      </c>
    </row>
    <row r="4" spans="2:7" x14ac:dyDescent="0.25">
      <c r="B4" s="223" t="s">
        <v>212</v>
      </c>
      <c r="C4" s="222"/>
      <c r="D4" s="222"/>
      <c r="E4" s="222"/>
      <c r="F4" s="222"/>
      <c r="G4" s="222"/>
    </row>
    <row r="5" spans="2:7" ht="19.95" customHeight="1" x14ac:dyDescent="0.25">
      <c r="B5" s="188" t="s">
        <v>213</v>
      </c>
      <c r="C5" s="189">
        <f>$E$5-1%</f>
        <v>1.5000000000000001E-2</v>
      </c>
      <c r="D5" s="189">
        <f>$E$5-0.5%</f>
        <v>0.02</v>
      </c>
      <c r="E5" s="189">
        <f>'DCF Valuation'!$J$22</f>
        <v>2.5000000000000001E-2</v>
      </c>
      <c r="F5" s="189">
        <f>$E$5+0.5%</f>
        <v>3.0000000000000002E-2</v>
      </c>
      <c r="G5" s="189">
        <f>$E$5+1%</f>
        <v>3.5000000000000003E-2</v>
      </c>
    </row>
    <row r="6" spans="2:7" ht="19.95" customHeight="1" x14ac:dyDescent="0.25">
      <c r="B6" s="189">
        <f>$B$8-1%</f>
        <v>8.8050367556548201E-2</v>
      </c>
      <c r="C6" s="190">
        <f>IF($B6&lt;=C$5,"n/m",(SUMPRODUCT('DCF Valuation'!$C$27:$G$27,1/(1+$B6)^'DCF Valuation'!$C$26:$G$26)+('DCF Valuation'!$G$27*(1+C$5)/($B6-C$5))/(1+$B6)^'DCF Valuation'!$G$26+'DCF Valuation'!$C$54-'DCF Valuation'!$C$55)/'DCF Valuation'!$C$59)</f>
        <v>247.11148136910705</v>
      </c>
      <c r="D6" s="190">
        <f>IF($B6&lt;=D$5,"n/m",(SUMPRODUCT('DCF Valuation'!$C$27:$G$27,1/(1+$B6)^'DCF Valuation'!$C$26:$G$26)+('DCF Valuation'!$G$27*(1+D$5)/($B6-D$5))/(1+$B6)^'DCF Valuation'!$G$26+'DCF Valuation'!$C$54-'DCF Valuation'!$C$55)/'DCF Valuation'!$C$59)</f>
        <v>261.34646687070676</v>
      </c>
      <c r="E6" s="190">
        <f>IF($B6&lt;=E$5,"n/m",(SUMPRODUCT('DCF Valuation'!$C$27:$G$27,1/(1+$B6)^'DCF Valuation'!$C$26:$G$26)+('DCF Valuation'!$G$27*(1+E$5)/($B6-E$5))/(1+$B6)^'DCF Valuation'!$G$26+'DCF Valuation'!$C$54-'DCF Valuation'!$C$55)/'DCF Valuation'!$C$59)</f>
        <v>277.83916886996724</v>
      </c>
      <c r="F6" s="190">
        <f>IF($B6&lt;=F$5,"n/m",(SUMPRODUCT('DCF Valuation'!$C$27:$G$27,1/(1+$B6)^'DCF Valuation'!$C$26:$G$26)+('DCF Valuation'!$G$27*(1+F$5)/($B6-F$5))/(1+$B6)^'DCF Valuation'!$G$26+'DCF Valuation'!$C$54-'DCF Valuation'!$C$55)/'DCF Valuation'!$C$59)</f>
        <v>297.1729729489337</v>
      </c>
      <c r="G6" s="190">
        <f>IF($B6&lt;=G$5,"n/m",(SUMPRODUCT('DCF Valuation'!$C$27:$G$27,1/(1+$B6)^'DCF Valuation'!$C$26:$G$26)+('DCF Valuation'!$G$27*(1+G$5)/($B6-G$5))/(1+$B6)^'DCF Valuation'!$G$26+'DCF Valuation'!$C$54-'DCF Valuation'!$C$55)/'DCF Valuation'!$C$59)</f>
        <v>320.15120117978898</v>
      </c>
    </row>
    <row r="7" spans="2:7" ht="19.95" customHeight="1" x14ac:dyDescent="0.25">
      <c r="B7" s="189">
        <f>$B$8-0.5%</f>
        <v>9.3050367556548191E-2</v>
      </c>
      <c r="C7" s="190">
        <f>IF($B7&lt;=C$5,"n/m",(SUMPRODUCT('DCF Valuation'!$C$27:$G$27,1/(1+$B7)^'DCF Valuation'!$C$26:$G$26)+('DCF Valuation'!$G$27*(1+C$5)/($B7-C$5))/(1+$B7)^'DCF Valuation'!$G$26+'DCF Valuation'!$C$54-'DCF Valuation'!$C$55)/'DCF Valuation'!$C$59)</f>
        <v>230.86129738420797</v>
      </c>
      <c r="D7" s="190">
        <f>IF($B7&lt;=D$5,"n/m",(SUMPRODUCT('DCF Valuation'!$C$27:$G$27,1/(1+$B7)^'DCF Valuation'!$C$26:$G$26)+('DCF Valuation'!$G$27*(1+D$5)/($B7-D$5))/(1+$B7)^'DCF Valuation'!$G$26+'DCF Valuation'!$C$54-'DCF Valuation'!$C$55)/'DCF Valuation'!$C$59)</f>
        <v>243.04692362791624</v>
      </c>
      <c r="E7" s="190">
        <f>IF($B7&lt;=E$5,"n/m",(SUMPRODUCT('DCF Valuation'!$C$27:$G$27,1/(1+$B7)^'DCF Valuation'!$C$26:$G$26)+('DCF Valuation'!$G$27*(1+E$5)/($B7-E$5))/(1+$B7)^'DCF Valuation'!$G$26+'DCF Valuation'!$C$54-'DCF Valuation'!$C$55)/'DCF Valuation'!$C$59)</f>
        <v>257.02322737730913</v>
      </c>
      <c r="F7" s="190">
        <f>IF($B7&lt;=F$5,"n/m",(SUMPRODUCT('DCF Valuation'!$C$27:$G$27,1/(1+$B7)^'DCF Valuation'!$C$26:$G$26)+('DCF Valuation'!$G$27*(1+F$5)/($B7-F$5))/(1+$B7)^'DCF Valuation'!$G$26+'DCF Valuation'!$C$54-'DCF Valuation'!$C$55)/'DCF Valuation'!$C$59)</f>
        <v>273.21621982988182</v>
      </c>
      <c r="G7" s="190">
        <f>IF($B7&lt;=G$5,"n/m",(SUMPRODUCT('DCF Valuation'!$C$27:$G$27,1/(1+$B7)^'DCF Valuation'!$C$26:$G$26)+('DCF Valuation'!$G$27*(1+G$5)/($B7-G$5))/(1+$B7)^'DCF Valuation'!$G$26+'DCF Valuation'!$C$54-'DCF Valuation'!$C$55)/'DCF Valuation'!$C$59)</f>
        <v>292.19868513752272</v>
      </c>
    </row>
    <row r="8" spans="2:7" ht="19.95" customHeight="1" x14ac:dyDescent="0.25">
      <c r="B8" s="189">
        <f>'DCF Valuation'!$J$21</f>
        <v>9.8050367556548196E-2</v>
      </c>
      <c r="C8" s="190">
        <f>IF($B8&lt;=C$5,"n/m",(SUMPRODUCT('DCF Valuation'!$C$27:$G$27,1/(1+$B8)^'DCF Valuation'!$C$26:$G$26)+('DCF Valuation'!$G$27*(1+C$5)/($B8-C$5))/(1+$B8)^'DCF Valuation'!$G$26+'DCF Valuation'!$C$54-'DCF Valuation'!$C$55)/'DCF Valuation'!$C$59)</f>
        <v>216.58229133811216</v>
      </c>
      <c r="D8" s="190">
        <f>IF($B8&lt;=D$5,"n/m",(SUMPRODUCT('DCF Valuation'!$C$27:$G$27,1/(1+$B8)^'DCF Valuation'!$C$26:$G$26)+('DCF Valuation'!$G$27*(1+D$5)/($B8-D$5))/(1+$B8)^'DCF Valuation'!$G$26+'DCF Valuation'!$C$54-'DCF Valuation'!$C$55)/'DCF Valuation'!$C$59)</f>
        <v>227.10676418124305</v>
      </c>
      <c r="E8" s="191">
        <f>IF($B8&lt;=E$5,"n/m",(SUMPRODUCT('DCF Valuation'!$C$27:$G$27,1/(1+$B8)^'DCF Valuation'!$C$26:$G$26)+('DCF Valuation'!$G$27*(1+E$5)/($B8-E$5))/(1+$B8)^'DCF Valuation'!$G$26+'DCF Valuation'!$C$54-'DCF Valuation'!$C$55)/'DCF Valuation'!$C$59)</f>
        <v>239.07195158819641</v>
      </c>
      <c r="F8" s="190">
        <f>IF($B8&lt;=F$5,"n/m",(SUMPRODUCT('DCF Valuation'!$C$27:$G$27,1/(1+$B8)^'DCF Valuation'!$C$26:$G$26)+('DCF Valuation'!$G$27*(1+F$5)/($B8-F$5))/(1+$B8)^'DCF Valuation'!$G$26+'DCF Valuation'!$C$54-'DCF Valuation'!$C$55)/'DCF Valuation'!$C$59)</f>
        <v>252.79542301867266</v>
      </c>
      <c r="G8" s="190">
        <f>IF($B8&lt;=G$5,"n/m",(SUMPRODUCT('DCF Valuation'!$C$27:$G$27,1/(1+$B8)^'DCF Valuation'!$C$26:$G$26)+('DCF Valuation'!$G$27*(1+G$5)/($B8-G$5))/(1+$B8)^'DCF Valuation'!$G$26+'DCF Valuation'!$C$54-'DCF Valuation'!$C$55)/'DCF Valuation'!$C$59)</f>
        <v>268.69548309760808</v>
      </c>
    </row>
    <row r="9" spans="2:7" ht="19.95" customHeight="1" x14ac:dyDescent="0.25">
      <c r="B9" s="189">
        <f>$B$8+0.5%</f>
        <v>0.1030503675565482</v>
      </c>
      <c r="C9" s="190">
        <f>IF($B9&lt;=C$5,"n/m",(SUMPRODUCT('DCF Valuation'!$C$27:$G$27,1/(1+$B9)^'DCF Valuation'!$C$26:$G$26)+('DCF Valuation'!$G$27*(1+C$5)/($B9-C$5))/(1+$B9)^'DCF Valuation'!$G$26+'DCF Valuation'!$C$54-'DCF Valuation'!$C$55)/'DCF Valuation'!$C$59)</f>
        <v>203.9383366504467</v>
      </c>
      <c r="D9" s="190">
        <f>IF($B9&lt;=D$5,"n/m",(SUMPRODUCT('DCF Valuation'!$C$27:$G$27,1/(1+$B9)^'DCF Valuation'!$C$26:$G$26)+('DCF Valuation'!$G$27*(1+D$5)/($B9-D$5))/(1+$B9)^'DCF Valuation'!$G$26+'DCF Valuation'!$C$54-'DCF Valuation'!$C$55)/'DCF Valuation'!$C$59)</f>
        <v>213.09952480986016</v>
      </c>
      <c r="E9" s="190">
        <f>IF($B9&lt;=E$5,"n/m",(SUMPRODUCT('DCF Valuation'!$C$27:$G$27,1/(1+$B9)^'DCF Valuation'!$C$26:$G$26)+('DCF Valuation'!$G$27*(1+E$5)/($B9-E$5))/(1+$B9)^'DCF Valuation'!$G$26+'DCF Valuation'!$C$54-'DCF Valuation'!$C$55)/'DCF Valuation'!$C$59)</f>
        <v>223.43446633472382</v>
      </c>
      <c r="F9" s="190">
        <f>IF($B9&lt;=F$5,"n/m",(SUMPRODUCT('DCF Valuation'!$C$27:$G$27,1/(1+$B9)^'DCF Valuation'!$C$26:$G$26)+('DCF Valuation'!$G$27*(1+F$5)/($B9-F$5))/(1+$B9)^'DCF Valuation'!$G$26+'DCF Valuation'!$C$54-'DCF Valuation'!$C$55)/'DCF Valuation'!$C$59)</f>
        <v>235.18417713051065</v>
      </c>
      <c r="G9" s="190">
        <f>IF($B9&lt;=G$5,"n/m",(SUMPRODUCT('DCF Valuation'!$C$27:$G$27,1/(1+$B9)^'DCF Valuation'!$C$26:$G$26)+('DCF Valuation'!$G$27*(1+G$5)/($B9-G$5))/(1+$B9)^'DCF Valuation'!$G$26+'DCF Valuation'!$C$54-'DCF Valuation'!$C$55)/'DCF Valuation'!$C$59)</f>
        <v>248.66050766659831</v>
      </c>
    </row>
    <row r="10" spans="2:7" ht="19.95" customHeight="1" x14ac:dyDescent="0.25">
      <c r="B10" s="189">
        <f>$B$8+1%</f>
        <v>0.10805036755654819</v>
      </c>
      <c r="C10" s="190">
        <f>IF($B10&lt;=C$5,"n/m",(SUMPRODUCT('DCF Valuation'!$C$27:$G$27,1/(1+$B10)^'DCF Valuation'!$C$26:$G$26)+('DCF Valuation'!$G$27*(1+C$5)/($B10-C$5))/(1+$B10)^'DCF Valuation'!$G$26+'DCF Valuation'!$C$54-'DCF Valuation'!$C$55)/'DCF Valuation'!$C$59)</f>
        <v>192.6655616456226</v>
      </c>
      <c r="D10" s="190">
        <f>IF($B10&lt;=D$5,"n/m",(SUMPRODUCT('DCF Valuation'!$C$27:$G$27,1/(1+$B10)^'DCF Valuation'!$C$26:$G$26)+('DCF Valuation'!$G$27*(1+D$5)/($B10-D$5))/(1+$B10)^'DCF Valuation'!$G$26+'DCF Valuation'!$C$54-'DCF Valuation'!$C$55)/'DCF Valuation'!$C$59)</f>
        <v>200.69561877646456</v>
      </c>
      <c r="E10" s="190">
        <f>IF($B10&lt;=E$5,"n/m",(SUMPRODUCT('DCF Valuation'!$C$27:$G$27,1/(1+$B10)^'DCF Valuation'!$C$26:$G$26)+('DCF Valuation'!$G$27*(1+E$5)/($B10-E$5))/(1+$B10)^'DCF Valuation'!$G$26+'DCF Valuation'!$C$54-'DCF Valuation'!$C$55)/'DCF Valuation'!$C$59)</f>
        <v>209.69256592442466</v>
      </c>
      <c r="F10" s="190">
        <f>IF($B10&lt;=F$5,"n/m",(SUMPRODUCT('DCF Valuation'!$C$27:$G$27,1/(1+$B10)^'DCF Valuation'!$C$26:$G$26)+('DCF Valuation'!$G$27*(1+F$5)/($B10-F$5))/(1+$B10)^'DCF Valuation'!$G$26+'DCF Valuation'!$C$54-'DCF Valuation'!$C$55)/'DCF Valuation'!$C$59)</f>
        <v>219.84222348613676</v>
      </c>
      <c r="G10" s="190">
        <f>IF($B10&lt;=G$5,"n/m",(SUMPRODUCT('DCF Valuation'!$C$27:$G$27,1/(1+$B10)^'DCF Valuation'!$C$26:$G$26)+('DCF Valuation'!$G$27*(1+G$5)/($B10-G$5))/(1+$B10)^'DCF Valuation'!$G$26+'DCF Valuation'!$C$54-'DCF Valuation'!$C$55)/'DCF Valuation'!$C$59)</f>
        <v>231.38128645417416</v>
      </c>
    </row>
    <row r="11" spans="2:7" ht="19.95" customHeight="1" x14ac:dyDescent="0.25"/>
    <row r="12" spans="2:7" ht="19.95" customHeight="1" x14ac:dyDescent="0.25"/>
    <row r="13" spans="2:7" x14ac:dyDescent="0.25">
      <c r="B13" s="223" t="s">
        <v>214</v>
      </c>
      <c r="C13" s="223"/>
    </row>
    <row r="14" spans="2:7" ht="19.95" customHeight="1" x14ac:dyDescent="0.25">
      <c r="B14" s="192" t="s">
        <v>186</v>
      </c>
      <c r="C14" s="194">
        <f>'DCF Valuation'!$J$21</f>
        <v>9.8050367556548196E-2</v>
      </c>
    </row>
    <row r="15" spans="2:7" ht="19.95" customHeight="1" x14ac:dyDescent="0.25">
      <c r="B15" s="192" t="s">
        <v>188</v>
      </c>
      <c r="C15" s="194">
        <f>'DCF Valuation'!$J$22</f>
        <v>2.5000000000000001E-2</v>
      </c>
    </row>
    <row r="16" spans="2:7" ht="19.95" customHeight="1" x14ac:dyDescent="0.25">
      <c r="B16" s="192" t="s">
        <v>215</v>
      </c>
      <c r="C16" s="195">
        <f>'DCF Valuation'!$J$26</f>
        <v>239.07195158819641</v>
      </c>
    </row>
    <row r="17" spans="2:3" ht="19.95" customHeight="1" x14ac:dyDescent="0.25">
      <c r="B17" s="192" t="s">
        <v>210</v>
      </c>
      <c r="C17" s="195">
        <f>'DCF Valuation'!$J$27</f>
        <v>393.35</v>
      </c>
    </row>
    <row r="18" spans="2:3" ht="19.95" customHeight="1" x14ac:dyDescent="0.25">
      <c r="B18" s="192" t="s">
        <v>216</v>
      </c>
      <c r="C18" s="193">
        <f>'DCF Valuation'!$J$28</f>
        <v>-0.39221570716106169</v>
      </c>
    </row>
  </sheetData>
  <conditionalFormatting sqref="C6:G10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</vt:lpstr>
      <vt:lpstr>Assumptions</vt:lpstr>
      <vt:lpstr>Income Statement</vt:lpstr>
      <vt:lpstr>Balance Sheet</vt:lpstr>
      <vt:lpstr>Cash Flow Statement</vt:lpstr>
      <vt:lpstr>Supporting Schedules</vt:lpstr>
      <vt:lpstr>DCF Valuation</vt:lpstr>
      <vt:lpstr>Sensitivity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 Rai</dc:creator>
  <cp:lastModifiedBy>Mani Rai</cp:lastModifiedBy>
  <dcterms:created xsi:type="dcterms:W3CDTF">2026-08-18T20:06:18Z</dcterms:created>
  <dcterms:modified xsi:type="dcterms:W3CDTF">2026-08-19T20:43:35Z</dcterms:modified>
</cp:coreProperties>
</file>